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y Aprovechamiento" sheetId="1" state="visible" r:id="rId3"/>
    <sheet name="Capacidad Wi-Fi" sheetId="2" state="visible" r:id="rId4"/>
    <sheet name="Crecimiento 3 años" sheetId="3" state="visible" r:id="rId5"/>
    <sheet name="Pools DHCP" sheetId="4" state="visible" r:id="rId6"/>
    <sheet name="VLSM Departamental" sheetId="5" state="visible" r:id="rId7"/>
    <sheet name="VLSM Complementario" sheetId="6" state="visible" r:id="rId8"/>
    <sheet name="FLSM Enlaces" sheetId="7" state="visible" r:id="rId9"/>
    <sheet name="CIDR Resumen" sheetId="8" state="visible" r:id="rId10"/>
    <sheet name="VLANs" sheetId="9" state="visible" r:id="rId11"/>
    <sheet name="Matriz IP" sheetId="10" state="visible" r:id="rId12"/>
    <sheet name="Línea bas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Arial"/>
            <family val="2"/>
          </rPr>
          <t xml:space="preserve">Entrada: posición donde inicia este bloque dentro de 172.30.0.0/16 (256 = 172.30.1.0).</t>
        </r>
      </text>
    </comment>
    <comment ref="J6" authorId="0">
      <text>
        <r>
          <rPr>
            <sz val="10"/>
            <rFont val="Arial"/>
            <family val="2"/>
          </rPr>
          <t xml:space="preserve">Desplazamiento fijo 1792 = 172.30.7.0. Ver CIDR Resumen.</t>
        </r>
      </text>
    </comment>
    <comment ref="J7" authorId="0">
      <text>
        <r>
          <rPr>
            <sz val="10"/>
            <rFont val="Arial"/>
            <family val="2"/>
          </rPr>
          <t xml:space="preserve">Después de la reserva 172.30.0.0/24 (desplazamiento 0 a 255).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Supuesto de diseño: el caso no fija la cantidad; se dimensiona para crecimiento.</t>
        </r>
      </text>
    </comment>
    <comment ref="D7" authorId="0">
      <text>
        <r>
          <rPr>
            <sz val="10"/>
            <rFont val="Arial"/>
            <family val="2"/>
          </rPr>
          <t xml:space="preserve">Supuesto de diseño: el caso no fija la cantidad; se dimensiona para crecimiento.</t>
        </r>
      </text>
    </comment>
    <comment ref="D8" authorId="0">
      <text>
        <r>
          <rPr>
            <sz val="10"/>
            <rFont val="Arial"/>
            <family val="2"/>
          </rPr>
          <t xml:space="preserve">Supuesto de diseño: el caso no fija la cantidad; se dimensiona para crecimiento.</t>
        </r>
      </text>
    </comment>
    <comment ref="H3" authorId="0">
      <text>
        <r>
          <rPr>
            <sz val="10"/>
            <rFont val="Arial"/>
            <family val="2"/>
          </rPr>
          <t xml:space="preserve">Entrada: posición donde inicia este bloque dentro de 172.30.0.0/16 (256 = 172.30.1.0).</t>
        </r>
      </text>
    </comment>
  </commentList>
</comments>
</file>

<file path=xl/sharedStrings.xml><?xml version="1.0" encoding="utf-8"?>
<sst xmlns="http://schemas.openxmlformats.org/spreadsheetml/2006/main" count="740" uniqueCount="502">
  <si>
    <t xml:space="preserve">Tabla 0. Resumen del direccionamiento y porcentaje de aprovechamiento</t>
  </si>
  <si>
    <t xml:space="preserve">Todas las cifras se calculan desde las hojas VLSM y FLSM. Aprovechamiento = hosts requeridos ÷ direcciones asignadas × 100.</t>
  </si>
  <si>
    <t xml:space="preserve">Bloque</t>
  </si>
  <si>
    <t xml:space="preserve">Subredes</t>
  </si>
  <si>
    <t xml:space="preserve">Hosts requeridos</t>
  </si>
  <si>
    <t xml:space="preserve">Direcciones asignadas</t>
  </si>
  <si>
    <t xml:space="preserve">Hosts útiles</t>
  </si>
  <si>
    <t xml:space="preserve">Aprovechamiento (req./asignadas)</t>
  </si>
  <si>
    <t xml:space="preserve">Fórmula</t>
  </si>
  <si>
    <t xml:space="preserve">VLSM departamental (7 subredes)</t>
  </si>
  <si>
    <t xml:space="preserve">VLSM complementario (Wi-Fi y gestión)</t>
  </si>
  <si>
    <t xml:space="preserve">Subtotal VLSM</t>
  </si>
  <si>
    <t xml:space="preserve">FLSM /30 (6 enlaces en uso + 2 reservas)</t>
  </si>
  <si>
    <t xml:space="preserve">Total diseño</t>
  </si>
  <si>
    <t xml:space="preserve">Enlaces /30 en uso</t>
  </si>
  <si>
    <t xml:space="preserve">Enlaces con equipos en ambos extremos (Norte, Sur, Occidente, DSW1, DSW2, R-EDGE). Los 2 de reserva no tienen hosts.</t>
  </si>
  <si>
    <t xml:space="preserve">Cómo leer el aprovechamiento</t>
  </si>
  <si>
    <t xml:space="preserve">VLSM: cada subred usa la menor potencia de 2 que cubre hosts + 2 (red y broadcast). El sobrante de cada bloque es el «desperdicio».</t>
  </si>
  <si>
    <t xml:space="preserve">FLSM /30: cada enlace tiene 4 direcciones y 2 útiles, así que su techo es 50 %; con 2 bloques de reserva vacíos baja a 37.5 %.</t>
  </si>
  <si>
    <t xml:space="preserve">El total combina ambos: (hosts requeridos VLSM + extremos de enlaces en uso) ÷ (1,504 + 32).</t>
  </si>
  <si>
    <t xml:space="preserve">Hosts requeridos de Wi-Fi y gestión (200, 100 y 20) son valores de diseño del equipo, no del enunciado.</t>
  </si>
  <si>
    <t xml:space="preserve">Ocupación del resumen y del bloque privado</t>
  </si>
  <si>
    <t xml:space="preserve">Referencia</t>
  </si>
  <si>
    <t xml:space="preserve">Direcciones</t>
  </si>
  <si>
    <t xml:space="preserve">Usadas por el diseño</t>
  </si>
  <si>
    <t xml:space="preserve">Ocupación</t>
  </si>
  <si>
    <t xml:space="preserve">Resumen CIDR 172.30.0.0/21</t>
  </si>
  <si>
    <t xml:space="preserve">Bloque 172.30.0.0/16</t>
  </si>
  <si>
    <t xml:space="preserve">Siguiente dirección libre</t>
  </si>
  <si>
    <t xml:space="preserve">Tras la última reserva FLSM 172.30.4.92/30. 172.30.0.0/24 reservada (no asignable) por el resumen.</t>
  </si>
  <si>
    <t xml:space="preserve">Tabla 7. Capacidad de las redes inalámbricas tras reservas</t>
  </si>
  <si>
    <t xml:space="preserve">Celdas azules = datos de entrada. Celdas amarillas = rangos de pools de SRV-DHCP y SRV-DHCP-2 en v6 (fuente: entrega2/revision/04-resultados-pruebas-v6.md).</t>
  </si>
  <si>
    <t xml:space="preserve">Concepto</t>
  </si>
  <si>
    <t xml:space="preserve">Wi-Fi Corporativo (VLAN 50)</t>
  </si>
  <si>
    <t xml:space="preserve">Wi-Fi Invitados (VLAN 60)</t>
  </si>
  <si>
    <t xml:space="preserve">Nota</t>
  </si>
  <si>
    <t xml:space="preserve">Red</t>
  </si>
  <si>
    <t xml:space="preserve">172.30.6.0/25</t>
  </si>
  <si>
    <t xml:space="preserve">172.30.5.0/24</t>
  </si>
  <si>
    <t xml:space="preserve">Bits de host</t>
  </si>
  <si>
    <t xml:space="preserve">Hosts útiles (2^h − 2)</t>
  </si>
  <si>
    <t xml:space="preserve">Reserva: gateway</t>
  </si>
  <si>
    <t xml:space="preserve">Corp: IP virtual HSRP .1. Invitados: R-EDGE Gi0/2 .1</t>
  </si>
  <si>
    <t xml:space="preserve">Reserva: interfaces de distribución</t>
  </si>
  <si>
    <t xml:space="preserve">Corp: SVI DSW1 .2 y DSW2 .3. Invitados: sin SVI 60 desde v5</t>
  </si>
  <si>
    <t xml:space="preserve">Reserva: infraestructura (APs, estáticas)</t>
  </si>
  <si>
    <t xml:space="preserve">Bloque .1–.10 excluido de los pools en ambos casos</t>
  </si>
  <si>
    <t xml:space="preserve">Capacidad para clientes tras reservas</t>
  </si>
  <si>
    <t xml:space="preserve">Pool primario SRV-DHCP: primera IP (último octeto)</t>
  </si>
  <si>
    <t xml:space="preserve">v6, revision/03 y 04</t>
  </si>
  <si>
    <t xml:space="preserve">Pool primario SRV-DHCP: última IP</t>
  </si>
  <si>
    <t xml:space="preserve">v6: corp inicio .11 y 75 usuarios; invitados .11 y 170</t>
  </si>
  <si>
    <t xml:space="preserve">Pool secundario SRV-DHCP-2: primera IP</t>
  </si>
  <si>
    <t xml:space="preserve">Pool secundario SRV-DHCP-2: última IP</t>
  </si>
  <si>
    <t xml:space="preserve">v6: corp 35 usuarios; invitados 70</t>
  </si>
  <si>
    <t xml:space="preserve">Direcciones entregables por los dos pools</t>
  </si>
  <si>
    <t xml:space="preserve">Suma de los dos tramos</t>
  </si>
  <si>
    <t xml:space="preserve">Traslape entre pools</t>
  </si>
  <si>
    <t xml:space="preserve">Pools dentro de la capacidad</t>
  </si>
  <si>
    <t xml:space="preserve">Inicio después de las reservas y fin antes del broadcast</t>
  </si>
  <si>
    <t xml:space="preserve">Demanda de diseño (clientes simultáneos)</t>
  </si>
  <si>
    <t xml:space="preserve">Valor de diseño de la hoja VLSM Complementario</t>
  </si>
  <si>
    <t xml:space="preserve">Ocupación con la demanda de diseño</t>
  </si>
  <si>
    <t xml:space="preserve">Margen libre (clientes adicionales)</t>
  </si>
  <si>
    <t xml:space="preserve">Clientes inalámbricos en la simulación</t>
  </si>
  <si>
    <t xml:space="preserve">LAP-CORP y LAP-INVITADO</t>
  </si>
  <si>
    <t xml:space="preserve">Lectura: la capacidad tras reservas es el techo de clientes; los pools pueden entregar menos si se dejan direcciones libres. Packet Tracer limita cada pool a un solo DNS.</t>
  </si>
  <si>
    <t xml:space="preserve">Tabla 8. Plan de crecimiento a tres años (2,400 dispositivos nuevos)</t>
  </si>
  <si>
    <t xml:space="preserve">Reparto proporcional a los usuarios actuales de cada sede/departamento. Celdas azules = supuestos editables. Bloque público 200.100.50.0/24 sin cambios.</t>
  </si>
  <si>
    <t xml:space="preserve">Dispositivos nuevos a 3 años</t>
  </si>
  <si>
    <t xml:space="preserve">Fase por año (% del total)</t>
  </si>
  <si>
    <t xml:space="preserve">Año 1</t>
  </si>
  <si>
    <t xml:space="preserve">Año 2</t>
  </si>
  <si>
    <t xml:space="preserve">Año 3</t>
  </si>
  <si>
    <t xml:space="preserve">Supuesto: crecimiento acelerado (25 %, 33 %, 42 %). El enunciado no fija el ritmo.</t>
  </si>
  <si>
    <t xml:space="preserve">#</t>
  </si>
  <si>
    <t xml:space="preserve">Sede / departamento</t>
  </si>
  <si>
    <t xml:space="preserve">Sede</t>
  </si>
  <si>
    <t xml:space="preserve">Usuarios actuales</t>
  </si>
  <si>
    <t xml:space="preserve">Participación</t>
  </si>
  <si>
    <t xml:space="preserve">Nuevos (3 años)</t>
  </si>
  <si>
    <t xml:space="preserve">Acumulado año 1</t>
  </si>
  <si>
    <t xml:space="preserve">Acumulado año 2</t>
  </si>
  <si>
    <t xml:space="preserve">Acumulado año 3</t>
  </si>
  <si>
    <t xml:space="preserve">Total al año 3</t>
  </si>
  <si>
    <t xml:space="preserve">Hosts subred de crecimiento</t>
  </si>
  <si>
    <t xml:space="preserve">Bits de host (h)</t>
  </si>
  <si>
    <t xml:space="preserve">Prefijo</t>
  </si>
  <si>
    <t xml:space="preserve">Tamaño de bloque</t>
  </si>
  <si>
    <t xml:space="preserve">Desplazamiento</t>
  </si>
  <si>
    <t xml:space="preserve">Dirección de red</t>
  </si>
  <si>
    <t xml:space="preserve">Rango útil</t>
  </si>
  <si>
    <t xml:space="preserve">Broadcast</t>
  </si>
  <si>
    <t xml:space="preserve">Máscara</t>
  </si>
  <si>
    <t xml:space="preserve">Alineación</t>
  </si>
  <si>
    <t xml:space="preserve">Aprovechamiento</t>
  </si>
  <si>
    <t xml:space="preserve">Centro de Ingeniería</t>
  </si>
  <si>
    <t xml:space="preserve">Sede Central</t>
  </si>
  <si>
    <t xml:space="preserve">Sucursal Norte</t>
  </si>
  <si>
    <t xml:space="preserve">Norte</t>
  </si>
  <si>
    <t xml:space="preserve">Edificio Administrativo</t>
  </si>
  <si>
    <t xml:space="preserve">Sucursal Sur</t>
  </si>
  <si>
    <t xml:space="preserve">Sur</t>
  </si>
  <si>
    <t xml:space="preserve">Sucursal Occidente</t>
  </si>
  <si>
    <t xml:space="preserve">Occidente</t>
  </si>
  <si>
    <t xml:space="preserve">Área Financiera</t>
  </si>
  <si>
    <t xml:space="preserve">Data Center (servidores virtuales)</t>
  </si>
  <si>
    <t xml:space="preserve">Total</t>
  </si>
  <si>
    <t xml:space="preserve">Cada sede recibe una subred nueva para su crecimiento (no se renumeran las actuales). Los dispositivos nuevos mezclan estaciones, IoT, móviles y servidores virtuales; el equipo puede dividir cada subred en VLANs por tipo sin salir del bloque.</t>
  </si>
  <si>
    <t xml:space="preserve">Bloques reservados por sede (sumarizables)</t>
  </si>
  <si>
    <t xml:space="preserve">Bloque reservado</t>
  </si>
  <si>
    <t xml:space="preserve">Tamaño</t>
  </si>
  <si>
    <t xml:space="preserve">Asignado a crecimiento</t>
  </si>
  <si>
    <t xml:space="preserve">Libre en el bloque</t>
  </si>
  <si>
    <t xml:space="preserve">Uso del bloque</t>
  </si>
  <si>
    <t xml:space="preserve">Sede Central (ING, ADM, FIN, DC)</t>
  </si>
  <si>
    <t xml:space="preserve">172.30.8.0/21</t>
  </si>
  <si>
    <t xml:space="preserve">172.30.16.0/22</t>
  </si>
  <si>
    <t xml:space="preserve">172.30.20.0/22</t>
  </si>
  <si>
    <t xml:space="preserve">172.30.24.0/22</t>
  </si>
  <si>
    <t xml:space="preserve">Reserva (nuevos enlaces, nueva sede, VLAN IoT)</t>
  </si>
  <si>
    <t xml:space="preserve">172.30.28.0/22</t>
  </si>
  <si>
    <t xml:space="preserve">Total crecimiento</t>
  </si>
  <si>
    <t xml:space="preserve">Resumen CIDR al año 3</t>
  </si>
  <si>
    <t xml:space="preserve">Valor</t>
  </si>
  <si>
    <t xml:space="preserve">Diseño actual (resumen /21)</t>
  </si>
  <si>
    <t xml:space="preserve">Bloques de crecimiento</t>
  </si>
  <si>
    <t xml:space="preserve">Espacio total ocupado o reservado</t>
  </si>
  <si>
    <t xml:space="preserve">Prefijo del nuevo resumen</t>
  </si>
  <si>
    <t xml:space="preserve">Nuevo resumen</t>
  </si>
  <si>
    <t xml:space="preserve">Direcciones del nuevo resumen</t>
  </si>
  <si>
    <t xml:space="preserve">Wildcard de ACL 1 (NAT)</t>
  </si>
  <si>
    <t xml:space="preserve">Ocupación del /16 al año 3</t>
  </si>
  <si>
    <t xml:space="preserve">Al año 3 R-CORE cambia «area 0 range» a 172.30.0.0 255.255.224.0 y R-EDGE su estática flotante. Cada bloque de sucursal se puede resumir aparte (por ejemplo 172.30.16.0/22 hacia Norte).</t>
  </si>
  <si>
    <t xml:space="preserve">Bloque público 200.100.50.0/24 (fijo)</t>
  </si>
  <si>
    <t xml:space="preserve">Subred</t>
  </si>
  <si>
    <t xml:space="preserve">Uso</t>
  </si>
  <si>
    <t xml:space="preserve">Estado</t>
  </si>
  <si>
    <t xml:space="preserve">200.100.50.0</t>
  </si>
  <si>
    <t xml:space="preserve">/30</t>
  </si>
  <si>
    <t xml:space="preserve">R-EDGE Gi0/1 .2 ↔ R-ISP .1</t>
  </si>
  <si>
    <t xml:space="preserve">En uso</t>
  </si>
  <si>
    <t xml:space="preserve">200.100.50.4</t>
  </si>
  <si>
    <t xml:space="preserve">Segundo enlace a otro ISP (redundancia)</t>
  </si>
  <si>
    <t xml:space="preserve">Reserva</t>
  </si>
  <si>
    <t xml:space="preserve">200.100.50.8</t>
  </si>
  <si>
    <t xml:space="preserve">/29</t>
  </si>
  <si>
    <t xml:space="preserve">Servidores publicados por NAT estático (web 200.100.50.10)</t>
  </si>
  <si>
    <t xml:space="preserve">En uso parcial</t>
  </si>
  <si>
    <t xml:space="preserve">200.100.50.16</t>
  </si>
  <si>
    <t xml:space="preserve">/28</t>
  </si>
  <si>
    <t xml:space="preserve">Pool PAT adicional si 200.100.50.2 se satura</t>
  </si>
  <si>
    <t xml:space="preserve">200.100.50.32</t>
  </si>
  <si>
    <t xml:space="preserve">/27</t>
  </si>
  <si>
    <t xml:space="preserve">DMZ futura (correo y VPN publicados)</t>
  </si>
  <si>
    <t xml:space="preserve">200.100.50.64</t>
  </si>
  <si>
    <t xml:space="preserve">/26</t>
  </si>
  <si>
    <t xml:space="preserve">Libre</t>
  </si>
  <si>
    <t xml:space="preserve">200.100.50.128</t>
  </si>
  <si>
    <t xml:space="preserve">/25</t>
  </si>
  <si>
    <t xml:space="preserve">Debe sumar 256 (el /24 completo, sin traslape)</t>
  </si>
  <si>
    <t xml:space="preserve">Tabla 10. Ámbitos DHCP de la versión final y verificación</t>
  </si>
  <si>
    <t xml:space="preserve">Fuente: entrega2/revision/03 y 04 (v6) con Ingeniería en 172.30.7.0/24. Split-scope: SRV-DHCP 172.30.4.11 (DNS .10) y SRV-DHCP-2 172.30.4.16 (DNS .17).</t>
  </si>
  <si>
    <t xml:space="preserve">Ámbito</t>
  </si>
  <si>
    <t xml:space="preserve">Red (3 primeros octetos)</t>
  </si>
  <si>
    <t xml:space="preserve">Último octeto de red</t>
  </si>
  <si>
    <t xml:space="preserve">Hosts útiles de la subred</t>
  </si>
  <si>
    <t xml:space="preserve">Inicio primario</t>
  </si>
  <si>
    <t xml:space="preserve">Máx. primario</t>
  </si>
  <si>
    <t xml:space="preserve">Fin primario</t>
  </si>
  <si>
    <t xml:space="preserve">Inicio secundario</t>
  </si>
  <si>
    <t xml:space="preserve">Máx. secundario</t>
  </si>
  <si>
    <t xml:space="preserve">Fin secundario</t>
  </si>
  <si>
    <t xml:space="preserve">Total entregable</t>
  </si>
  <si>
    <t xml:space="preserve">Cubre requisito</t>
  </si>
  <si>
    <t xml:space="preserve">Sin traslape</t>
  </si>
  <si>
    <t xml:space="preserve">Dentro de la subred</t>
  </si>
  <si>
    <t xml:space="preserve">Reservadas antes del pool</t>
  </si>
  <si>
    <t xml:space="preserve">ING</t>
  </si>
  <si>
    <t xml:space="preserve">172.30.7</t>
  </si>
  <si>
    <t xml:space="preserve">ADM</t>
  </si>
  <si>
    <t xml:space="preserve">172.30.2</t>
  </si>
  <si>
    <t xml:space="preserve">FIN</t>
  </si>
  <si>
    <t xml:space="preserve">172.30.3</t>
  </si>
  <si>
    <t xml:space="preserve">NORTE</t>
  </si>
  <si>
    <t xml:space="preserve">172.30.1</t>
  </si>
  <si>
    <t xml:space="preserve">SUR</t>
  </si>
  <si>
    <t xml:space="preserve">OCC</t>
  </si>
  <si>
    <t xml:space="preserve">WIFI-CORP</t>
  </si>
  <si>
    <t xml:space="preserve">172.30.6</t>
  </si>
  <si>
    <t xml:space="preserve">WIFI-INV</t>
  </si>
  <si>
    <t xml:space="preserve">172.30.5</t>
  </si>
  <si>
    <t xml:space="preserve">Los octetos son el último octeto de la IP; Fin = inicio + máximo − 1. Wi-Fi: la demanda es el valor de diseño.</t>
  </si>
  <si>
    <t xml:space="preserve">serverPool por defecto de PT: 172.30.4.62 (primario) y 172.30.4.61 (secundario), una dirección cada uno, fuera de las IP usadas en VLAN 40 (.1–.3, .10–.17).</t>
  </si>
  <si>
    <t xml:space="preserve">Respaldo parcial: si cae el primario, el secundario solo entrega su tramo (≈30 %) y con DNS .17; PT admite un solo DNS por pool.</t>
  </si>
  <si>
    <t xml:space="preserve">Matriz IP verificada contra entrega2/revision/configs_final (v6); la versión final solo cambia Vlan10 de DSW1/DSW2 (.7.2/.7.3), POOL-ING/ING-B y ACL-GESTION (172.30.7.0/24).</t>
  </si>
  <si>
    <t xml:space="preserve">Tabla 1. Plan VLSM departamental de la red 172.30.0.0/16</t>
  </si>
  <si>
    <t xml:space="preserve">Nexus Corporation. Orden de mayor a menor según hosts requeridos. Versión final: Ingeniería se reubica en 172.30.7.0/24 y 172.30.0.0/24 queda reservada (no asignable) para que el resumen 172.30.0.0/21 no comparta Link State ID con una subred.</t>
  </si>
  <si>
    <t xml:space="preserve">Desplazamiento inicial (direcciones desde 172.30.0.0):</t>
  </si>
  <si>
    <t xml:space="preserve">Subred / Segmento</t>
  </si>
  <si>
    <t xml:space="preserve">VLAN</t>
  </si>
  <si>
    <t xml:space="preserve">Prefijo CIDR</t>
  </si>
  <si>
    <t xml:space="preserve">Tamaño de bloque (2^h)</t>
  </si>
  <si>
    <t xml:space="preserve">Desperdicio</t>
  </si>
  <si>
    <t xml:space="preserve">Primera IP útil</t>
  </si>
  <si>
    <t xml:space="preserve">Última IP útil</t>
  </si>
  <si>
    <t xml:space="preserve">Máscara decimal</t>
  </si>
  <si>
    <t xml:space="preserve">Puerta de enlace</t>
  </si>
  <si>
    <t xml:space="preserve">Centro de Ingeniería (Sede Central)</t>
  </si>
  <si>
    <t xml:space="preserve">Sucursal Regional Norte</t>
  </si>
  <si>
    <t xml:space="preserve">—</t>
  </si>
  <si>
    <t xml:space="preserve">Edificio Administrativo (Sede Central)</t>
  </si>
  <si>
    <t xml:space="preserve">Sucursal Regional Sur</t>
  </si>
  <si>
    <t xml:space="preserve">Sucursal Regional Occidente</t>
  </si>
  <si>
    <t xml:space="preserve">Área Financiera (Sede Central)</t>
  </si>
  <si>
    <t xml:space="preserve">Data Center (Sede Central)</t>
  </si>
  <si>
    <t xml:space="preserve">Total hosts requeridos</t>
  </si>
  <si>
    <t xml:space="preserve">Total direcciones asignadas</t>
  </si>
  <si>
    <t xml:space="preserve">Eficiencia (hosts req. / direcciones)</t>
  </si>
  <si>
    <t xml:space="preserve">Reserva no asignable</t>
  </si>
  <si>
    <t xml:space="preserve">172.30.0.0/24</t>
  </si>
  <si>
    <t xml:space="preserve">Fórmula: h = mínimo entero tal que 2^h − 2 ≥ hosts requeridos; prefijo = 32 − h. Celdas en azul = datos de entrada del caso.</t>
  </si>
  <si>
    <t xml:space="preserve">Tabla 2. Subredes complementarias de infraestructura (VLSM)</t>
  </si>
  <si>
    <t xml:space="preserve">Segmentos de diseño añadidos para Wi-Fi y gestión. Cantidades de hosts definidas por el equipo de diseño.</t>
  </si>
  <si>
    <t xml:space="preserve">Wi-Fi Invitados (Sede Central, portal cautivo)</t>
  </si>
  <si>
    <t xml:space="preserve">Wi-Fi Corporativo (Sede Central)</t>
  </si>
  <si>
    <t xml:space="preserve">Gestión de equipos (Management)</t>
  </si>
  <si>
    <t xml:space="preserve">Wi-Fi Invitados: gateway en R-EDGE Gi0/2 (172.30.5.1), conectado a ASW-ING Fa0/21 desde v6; no hay SVI 60 en DSW1/DSW2.</t>
  </si>
  <si>
    <t xml:space="preserve">Tabla 3. Plan FLSM /30 para enlaces punto a punto</t>
  </si>
  <si>
    <t xml:space="preserve">Bloque 172.30.4.64/27 dividido en 8 subredes de tamaño fijo /30 (2 hosts útiles cada una).</t>
  </si>
  <si>
    <t xml:space="preserve">Desplazamiento inicial:</t>
  </si>
  <si>
    <t xml:space="preserve">Prefijo fijo:</t>
  </si>
  <si>
    <t xml:space="preserve">Enlace</t>
  </si>
  <si>
    <t xml:space="preserve">Extremo A</t>
  </si>
  <si>
    <t xml:space="preserve">Extremo B</t>
  </si>
  <si>
    <t xml:space="preserve">IP extremo A</t>
  </si>
  <si>
    <t xml:space="preserve">IP extremo B</t>
  </si>
  <si>
    <t xml:space="preserve">CIDR</t>
  </si>
  <si>
    <t xml:space="preserve">WAN Sede Central ↔ Norte</t>
  </si>
  <si>
    <t xml:space="preserve">R-CORE Se0/0/0 (DCE)</t>
  </si>
  <si>
    <t xml:space="preserve">R-NORTE Se0/0/0</t>
  </si>
  <si>
    <t xml:space="preserve">WAN Sede Central ↔ Sur</t>
  </si>
  <si>
    <t xml:space="preserve">R-CORE Se0/0/1 (DCE)</t>
  </si>
  <si>
    <t xml:space="preserve">R-SUR Se0/0/0</t>
  </si>
  <si>
    <t xml:space="preserve">WAN Sede Central ↔ Occidente</t>
  </si>
  <si>
    <t xml:space="preserve">R-CORE Se0/1/0 (DCE)</t>
  </si>
  <si>
    <t xml:space="preserve">R-OCCIDENTE Se0/0/0</t>
  </si>
  <si>
    <t xml:space="preserve">Core ↔ Distribución 1</t>
  </si>
  <si>
    <t xml:space="preserve">R-CORE Gi0/0</t>
  </si>
  <si>
    <t xml:space="preserve">DSW1-SEDE Gi0/1</t>
  </si>
  <si>
    <t xml:space="preserve">Core ↔ Distribución 2</t>
  </si>
  <si>
    <t xml:space="preserve">R-CORE Gi0/1</t>
  </si>
  <si>
    <t xml:space="preserve">DSW2-SEDE Gi0/1</t>
  </si>
  <si>
    <t xml:space="preserve">Core ↔ Borde perimetral</t>
  </si>
  <si>
    <t xml:space="preserve">R-CORE Gi0/2</t>
  </si>
  <si>
    <t xml:space="preserve">R-EDGE Gi0/0</t>
  </si>
  <si>
    <t xml:space="preserve">Reserva (crecimiento)</t>
  </si>
  <si>
    <t xml:space="preserve">Perímetro (bloque público 200.100.50.0/24): R-EDGE Gi0/1 200.100.50.2/30 ↔ R-ISP Gi0/0 200.100.50.1/30; NAT estático del servidor Web 200.100.50.10.</t>
  </si>
  <si>
    <t xml:space="preserve">Tabla 4. Resumen de rutas (CIDR / supernetting)</t>
  </si>
  <si>
    <t xml:space="preserve">Cálculo de la ruta sumarizada que el router de borde usa para alcanzar toda la red interna.</t>
  </si>
  <si>
    <t xml:space="preserve">Binario del tercer octeto</t>
  </si>
  <si>
    <t xml:space="preserve">Primera red interna</t>
  </si>
  <si>
    <t xml:space="preserve">172.30.0.0</t>
  </si>
  <si>
    <t xml:space="preserve">00000000</t>
  </si>
  <si>
    <t xml:space="preserve">Última dirección usada</t>
  </si>
  <si>
    <t xml:space="preserve">172.30.7.255</t>
  </si>
  <si>
    <t xml:space="preserve">00000111</t>
  </si>
  <si>
    <t xml:space="preserve">Bits comunes del tercer octeto</t>
  </si>
  <si>
    <t xml:space="preserve">5 (00000xxx)</t>
  </si>
  <si>
    <t xml:space="preserve">Prefijo resumido</t>
  </si>
  <si>
    <t xml:space="preserve">Ruta resumida</t>
  </si>
  <si>
    <t xml:space="preserve">172.30.0.0/21</t>
  </si>
  <si>
    <t xml:space="preserve">Máscara resumida</t>
  </si>
  <si>
    <t xml:space="preserve">255.255.248.0</t>
  </si>
  <si>
    <t xml:space="preserve">11111000</t>
  </si>
  <si>
    <t xml:space="preserve">Rango cubierto</t>
  </si>
  <si>
    <t xml:space="preserve">172.30.0.0 – 172.30.7.255</t>
  </si>
  <si>
    <t xml:space="preserve">Direcciones del resumen</t>
  </si>
  <si>
    <t xml:space="preserve">Direcciones asignadas por el diseño</t>
  </si>
  <si>
    <t xml:space="preserve">Espacio libre para crecimiento</t>
  </si>
  <si>
    <t xml:space="preserve">Motivo: con Ingeniería en 172.30.0.0/24, PT 9 originaba la /24 y la /21 con el mismo Link State ID y R-EDGE no aprendía el resumen de forma consistente.</t>
  </si>
  <si>
    <t xml:space="preserve">Aplicación en la versión final: R-CORE (ABR) anuncia «area 0 range 172.30.0.0 255.255.248.0»; R-EDGE aprende solo O IA 172.30.0.0/21, también tras reabrir y sin la estática (ver verificación final).</t>
  </si>
  <si>
    <t xml:space="preserve">R-EDGE conserva «ip route 172.30.0.0 255.255.248.0 172.30.4.85 120» como estática flotante de respaldo (AD 120 &gt; OSPF 110); no es necesaria para el funcionamiento.</t>
  </si>
  <si>
    <t xml:space="preserve">La ACL 1 de NAT usa la misma wildcard 0.0.7.255. Con el crecimiento a 3 años el resumen pasa a 172.30.0.0/19 (ver hoja Crecimiento 3 años).</t>
  </si>
  <si>
    <t xml:space="preserve">Tabla 5. VLANs institucionales de la Sede Central</t>
  </si>
  <si>
    <t xml:space="preserve">Gateway = IP virtual HSRP. DSW1 activo en VLAN 10, 30, 50 y 99; DSW2 activo en VLAN 20 y 40. VLAN 60 sin SVI: gateway en R-EDGE Gi0/2 (v5/v6).</t>
  </si>
  <si>
    <t xml:space="preserve">Nombre</t>
  </si>
  <si>
    <t xml:space="preserve">Gateway virtual (HSRP)</t>
  </si>
  <si>
    <t xml:space="preserve">SVI DSW1</t>
  </si>
  <si>
    <t xml:space="preserve">SVI DSW2</t>
  </si>
  <si>
    <t xml:space="preserve">Switch de acceso</t>
  </si>
  <si>
    <t xml:space="preserve">Router activo HSRP / raíz STP</t>
  </si>
  <si>
    <t xml:space="preserve">INGENIERIA</t>
  </si>
  <si>
    <t xml:space="preserve">172.30.7.0/24</t>
  </si>
  <si>
    <t xml:space="preserve">172.30.7.1</t>
  </si>
  <si>
    <t xml:space="preserve">172.30.7.2</t>
  </si>
  <si>
    <t xml:space="preserve">172.30.7.3</t>
  </si>
  <si>
    <t xml:space="preserve">ASW-ING</t>
  </si>
  <si>
    <t xml:space="preserve">DSW1</t>
  </si>
  <si>
    <t xml:space="preserve">ADMINISTRATIVO</t>
  </si>
  <si>
    <t xml:space="preserve">172.30.2.0/25</t>
  </si>
  <si>
    <t xml:space="preserve">172.30.2.1</t>
  </si>
  <si>
    <t xml:space="preserve">172.30.2.2</t>
  </si>
  <si>
    <t xml:space="preserve">172.30.2.3</t>
  </si>
  <si>
    <t xml:space="preserve">ASW-ADM</t>
  </si>
  <si>
    <t xml:space="preserve">DSW2</t>
  </si>
  <si>
    <t xml:space="preserve">FINANZAS</t>
  </si>
  <si>
    <t xml:space="preserve">172.30.3.128/25</t>
  </si>
  <si>
    <t xml:space="preserve">172.30.3.129</t>
  </si>
  <si>
    <t xml:space="preserve">172.30.3.130</t>
  </si>
  <si>
    <t xml:space="preserve">172.30.3.131</t>
  </si>
  <si>
    <t xml:space="preserve">ASW-FIN</t>
  </si>
  <si>
    <t xml:space="preserve">DATACENTER</t>
  </si>
  <si>
    <t xml:space="preserve">172.30.4.0/26</t>
  </si>
  <si>
    <t xml:space="preserve">172.30.4.1</t>
  </si>
  <si>
    <t xml:space="preserve">172.30.4.2</t>
  </si>
  <si>
    <t xml:space="preserve">172.30.4.3</t>
  </si>
  <si>
    <t xml:space="preserve">ASW-DC</t>
  </si>
  <si>
    <t xml:space="preserve">172.30.6.1</t>
  </si>
  <si>
    <t xml:space="preserve">172.30.6.2</t>
  </si>
  <si>
    <t xml:space="preserve">172.30.6.3</t>
  </si>
  <si>
    <t xml:space="preserve">ASW-ADM (AP-CORP)</t>
  </si>
  <si>
    <t xml:space="preserve">WIFI-INVITADOS</t>
  </si>
  <si>
    <t xml:space="preserve">172.30.5.1 (R-EDGE Gi0/2)</t>
  </si>
  <si>
    <t xml:space="preserve">ASW-ING (AP-GUEST, R-EDGE en Fa0/21)</t>
  </si>
  <si>
    <t xml:space="preserve">R-EDGE (sin HSRP)</t>
  </si>
  <si>
    <t xml:space="preserve">GESTION</t>
  </si>
  <si>
    <t xml:space="preserve">172.30.6.128/27</t>
  </si>
  <si>
    <t xml:space="preserve">172.30.6.129</t>
  </si>
  <si>
    <t xml:space="preserve">172.30.6.130</t>
  </si>
  <si>
    <t xml:space="preserve">172.30.6.131</t>
  </si>
  <si>
    <t xml:space="preserve">Todos</t>
  </si>
  <si>
    <t xml:space="preserve">NATIVA (sin uso, seguridad)</t>
  </si>
  <si>
    <t xml:space="preserve">Troncales 802.1Q</t>
  </si>
  <si>
    <t xml:space="preserve">Tabla 6. Matriz de direccionamiento IP por dispositivo</t>
  </si>
  <si>
    <t xml:space="preserve">Direcciones estáticas de infraestructura (versión final: v6 con Ingeniería en 172.30.7.0/24). Los hosts reciben IP por DHCP: SRV-DHCP 172.30.4.11 (≈70 % de cada ámbito) y SRV-DHCP-2 172.30.4.16 (≈30 %).</t>
  </si>
  <si>
    <t xml:space="preserve">Dispositivo</t>
  </si>
  <si>
    <t xml:space="preserve">Modelo</t>
  </si>
  <si>
    <t xml:space="preserve">Interfaz</t>
  </si>
  <si>
    <t xml:space="preserve">Dirección IP</t>
  </si>
  <si>
    <t xml:space="preserve">Gateway / siguiente salto</t>
  </si>
  <si>
    <t xml:space="preserve">Descripción</t>
  </si>
  <si>
    <t xml:space="preserve">R-ISP</t>
  </si>
  <si>
    <t xml:space="preserve">2911</t>
  </si>
  <si>
    <t xml:space="preserve">Gi0/0</t>
  </si>
  <si>
    <t xml:space="preserve">200.100.50.1</t>
  </si>
  <si>
    <t xml:space="preserve">255.255.255.252</t>
  </si>
  <si>
    <t xml:space="preserve">Enlace al borde de Nexus</t>
  </si>
  <si>
    <t xml:space="preserve">Gi0/1</t>
  </si>
  <si>
    <t xml:space="preserve">8.8.8.1</t>
  </si>
  <si>
    <t xml:space="preserve">255.255.255.0</t>
  </si>
  <si>
    <t xml:space="preserve">Red simulada de Internet</t>
  </si>
  <si>
    <t xml:space="preserve">R-EDGE</t>
  </si>
  <si>
    <t xml:space="preserve">172.30.4.86</t>
  </si>
  <si>
    <t xml:space="preserve">Hacia R-CORE</t>
  </si>
  <si>
    <t xml:space="preserve">200.100.50.2</t>
  </si>
  <si>
    <t xml:space="preserve">Hacia ISP (NAT outside)</t>
  </si>
  <si>
    <t xml:space="preserve">R-CORE</t>
  </si>
  <si>
    <t xml:space="preserve">172.30.4.77</t>
  </si>
  <si>
    <t xml:space="preserve">Hacia DSW1-SEDE</t>
  </si>
  <si>
    <t xml:space="preserve">172.30.4.81</t>
  </si>
  <si>
    <t xml:space="preserve">Hacia DSW2-SEDE</t>
  </si>
  <si>
    <t xml:space="preserve">Gi0/2</t>
  </si>
  <si>
    <t xml:space="preserve">172.30.4.85</t>
  </si>
  <si>
    <t xml:space="preserve">Hacia R-EDGE</t>
  </si>
  <si>
    <t xml:space="preserve">Se0/0/0</t>
  </si>
  <si>
    <t xml:space="preserve">172.30.4.65</t>
  </si>
  <si>
    <t xml:space="preserve">WAN Norte (DCE 64000)</t>
  </si>
  <si>
    <t xml:space="preserve">Se0/0/1</t>
  </si>
  <si>
    <t xml:space="preserve">172.30.4.69</t>
  </si>
  <si>
    <t xml:space="preserve">WAN Sur (DCE 64000)</t>
  </si>
  <si>
    <t xml:space="preserve">Se0/1/0</t>
  </si>
  <si>
    <t xml:space="preserve">172.30.4.73</t>
  </si>
  <si>
    <t xml:space="preserve">WAN Occidente (DCE 64000)</t>
  </si>
  <si>
    <t xml:space="preserve">R-NORTE</t>
  </si>
  <si>
    <t xml:space="preserve">172.30.4.66</t>
  </si>
  <si>
    <t xml:space="preserve">WAN a Sede Central</t>
  </si>
  <si>
    <t xml:space="preserve">172.30.1.1</t>
  </si>
  <si>
    <t xml:space="preserve">LAN Norte (ip helper .11 y .16)</t>
  </si>
  <si>
    <t xml:space="preserve">R-SUR</t>
  </si>
  <si>
    <t xml:space="preserve">172.30.4.70</t>
  </si>
  <si>
    <t xml:space="preserve">172.30.2.129</t>
  </si>
  <si>
    <t xml:space="preserve">255.255.255.128</t>
  </si>
  <si>
    <t xml:space="preserve">LAN Sur (ip helper .11 y .16)</t>
  </si>
  <si>
    <t xml:space="preserve">R-OCCIDENTE</t>
  </si>
  <si>
    <t xml:space="preserve">172.30.4.74</t>
  </si>
  <si>
    <t xml:space="preserve">172.30.3.1</t>
  </si>
  <si>
    <t xml:space="preserve">LAN Occidente (ip helper .11 y .16)</t>
  </si>
  <si>
    <t xml:space="preserve">DSW1-SEDE</t>
  </si>
  <si>
    <t xml:space="preserve">3560-24PS</t>
  </si>
  <si>
    <t xml:space="preserve">172.30.4.78</t>
  </si>
  <si>
    <t xml:space="preserve">Enlace ruteado a R-CORE</t>
  </si>
  <si>
    <t xml:space="preserve">DSW2-SEDE</t>
  </si>
  <si>
    <t xml:space="preserve">172.30.4.82</t>
  </si>
  <si>
    <t xml:space="preserve">2960-24TT</t>
  </si>
  <si>
    <t xml:space="preserve">VLAN 99</t>
  </si>
  <si>
    <t xml:space="preserve">172.30.6.134</t>
  </si>
  <si>
    <t xml:space="preserve">255.255.255.224</t>
  </si>
  <si>
    <t xml:space="preserve">Gestión</t>
  </si>
  <si>
    <t xml:space="preserve">172.30.6.135</t>
  </si>
  <si>
    <t xml:space="preserve">172.30.6.136</t>
  </si>
  <si>
    <t xml:space="preserve">172.30.6.137</t>
  </si>
  <si>
    <t xml:space="preserve">SW-NORTE</t>
  </si>
  <si>
    <t xml:space="preserve">VLAN 1</t>
  </si>
  <si>
    <t xml:space="preserve">172.30.1.2</t>
  </si>
  <si>
    <t xml:space="preserve">SW-SUR</t>
  </si>
  <si>
    <t xml:space="preserve">172.30.2.130</t>
  </si>
  <si>
    <t xml:space="preserve">SW-OCC</t>
  </si>
  <si>
    <t xml:space="preserve">172.30.3.2</t>
  </si>
  <si>
    <t xml:space="preserve">SRV-DNS</t>
  </si>
  <si>
    <t xml:space="preserve">Server-PT</t>
  </si>
  <si>
    <t xml:space="preserve">Fa0</t>
  </si>
  <si>
    <t xml:space="preserve">172.30.4.10</t>
  </si>
  <si>
    <t xml:space="preserve">255.255.255.192</t>
  </si>
  <si>
    <t xml:space="preserve">DNS (UDP/TCP 53)</t>
  </si>
  <si>
    <t xml:space="preserve">SRV-DHCP</t>
  </si>
  <si>
    <t xml:space="preserve">172.30.4.11</t>
  </si>
  <si>
    <t xml:space="preserve">DHCP (UDP 67/68)</t>
  </si>
  <si>
    <t xml:space="preserve">SRV-WEB</t>
  </si>
  <si>
    <t xml:space="preserve">172.30.4.12</t>
  </si>
  <si>
    <t xml:space="preserve">HTTP/HTTPS (TCP 80/443), NAT 200.100.50.10</t>
  </si>
  <si>
    <t xml:space="preserve">SRV-FTP</t>
  </si>
  <si>
    <t xml:space="preserve">172.30.4.13</t>
  </si>
  <si>
    <t xml:space="preserve">FTP (TCP 20/21) y TFTP (UDP 69)</t>
  </si>
  <si>
    <t xml:space="preserve">SRV-MAIL</t>
  </si>
  <si>
    <t xml:space="preserve">172.30.4.14</t>
  </si>
  <si>
    <t xml:space="preserve">SMTP (TCP 25), POP3 (TCP 110), IMAP (TCP 143)</t>
  </si>
  <si>
    <t xml:space="preserve">SRV-DB</t>
  </si>
  <si>
    <t xml:space="preserve">172.30.4.15</t>
  </si>
  <si>
    <t xml:space="preserve">Base de datos financiera</t>
  </si>
  <si>
    <t xml:space="preserve">SRV-INTERNET</t>
  </si>
  <si>
    <t xml:space="preserve">8.8.8.8</t>
  </si>
  <si>
    <t xml:space="preserve">Servidor externo simulado</t>
  </si>
  <si>
    <t xml:space="preserve">172.30.5.1</t>
  </si>
  <si>
    <t xml:space="preserve">Gateway Wi-Fi invitados (VLAN 60), ACL-INVITADOS, a ASW-ING Fa0/21</t>
  </si>
  <si>
    <t xml:space="preserve">SRV-DHCP-2</t>
  </si>
  <si>
    <t xml:space="preserve">172.30.4.16</t>
  </si>
  <si>
    <t xml:space="preserve">DHCP secundario, split-scope ≈30 % (ASW-DC Fa0/7)</t>
  </si>
  <si>
    <t xml:space="preserve">SRV-DNS-2</t>
  </si>
  <si>
    <t xml:space="preserve">172.30.4.17</t>
  </si>
  <si>
    <t xml:space="preserve">DNS secundario, mismos registros A (ASW-DC Fa0/8)</t>
  </si>
  <si>
    <t xml:space="preserve">Dimensionamiento del Data Center (172.30.4.0/26) para 35 servidores</t>
  </si>
  <si>
    <t xml:space="preserve">Direcciones útiles</t>
  </si>
  <si>
    <t xml:space="preserve">Gateways (.1–.3)</t>
  </si>
  <si>
    <t xml:space="preserve">Servidores requeridos por el enunciado</t>
  </si>
  <si>
    <t xml:space="preserve">serverPool de PT (.61, .62)</t>
  </si>
  <si>
    <t xml:space="preserve">Ocupadas al llegar a 35</t>
  </si>
  <si>
    <t xml:space="preserve">Libres</t>
  </si>
  <si>
    <t xml:space="preserve">Servidores representados en el .pkt</t>
  </si>
  <si>
    <t xml:space="preserve">Los 8 servidores del .pkt (DNS, DHCP, web, FTP/TFTP, correo, BD y los respaldos DHCP/DNS) son una representación funcional de los 35, igual que las PCs representan a los usuarios de cada departamento. Los 27 restantes usarían .18 a .44.</t>
  </si>
  <si>
    <t xml:space="preserve">Tabla 9. Línea base: latencia, jitter y throughput</t>
  </si>
  <si>
    <t xml:space="preserve">Pegar los 50 tiempos (ms) de cada serie en su columna, en orden; un paquete perdido deja su celda en blanco y se cuenta en la fila Perdidos. El jitter solo usa pares de respuestas consecutivas.</t>
  </si>
  <si>
    <t xml:space="preserve">Datos v6: 3 series × 6 destinos × 50 pings desde PC-ING-1/2/3 (entrega2/revision/evidencias_v6/linea_base_muestras.csv). «&lt;1 ms» = 0; los perdidos quedan en blanco.</t>
  </si>
  <si>
    <t xml:space="preserve">Serie →</t>
  </si>
  <si>
    <t xml:space="preserve">PC-ADM-1 S1</t>
  </si>
  <si>
    <t xml:space="preserve">PC-ADM-1 S2</t>
  </si>
  <si>
    <t xml:space="preserve">PC-ADM-1 S3</t>
  </si>
  <si>
    <t xml:space="preserve">SRV-WEB S1</t>
  </si>
  <si>
    <t xml:space="preserve">SRV-WEB S2</t>
  </si>
  <si>
    <t xml:space="preserve">SRV-WEB S3</t>
  </si>
  <si>
    <t xml:space="preserve">PC-NORTE-1 S1</t>
  </si>
  <si>
    <t xml:space="preserve">PC-NORTE-1 S2</t>
  </si>
  <si>
    <t xml:space="preserve">PC-NORTE-1 S3</t>
  </si>
  <si>
    <t xml:space="preserve">PC-SUR-1 S1</t>
  </si>
  <si>
    <t xml:space="preserve">PC-SUR-1 S2</t>
  </si>
  <si>
    <t xml:space="preserve">PC-SUR-1 S3</t>
  </si>
  <si>
    <t xml:space="preserve">PC-OCC-1 S1</t>
  </si>
  <si>
    <t xml:space="preserve">PC-OCC-1 S2</t>
  </si>
  <si>
    <t xml:space="preserve">PC-OCC-1 S3</t>
  </si>
  <si>
    <t xml:space="preserve">8.8.8.8 S1</t>
  </si>
  <si>
    <t xml:space="preserve">8.8.8.8 S2</t>
  </si>
  <si>
    <t xml:space="preserve">8.8.8.8 S3</t>
  </si>
  <si>
    <t xml:space="preserve">Recibidos</t>
  </si>
  <si>
    <t xml:space="preserve">Perdidos</t>
  </si>
  <si>
    <t xml:space="preserve">Pérdida (%)</t>
  </si>
  <si>
    <t xml:space="preserve">Mínimo (ms)</t>
  </si>
  <si>
    <t xml:space="preserve">Promedio (ms)</t>
  </si>
  <si>
    <t xml:space="preserve">Máximo (ms)</t>
  </si>
  <si>
    <t xml:space="preserve">Jitter (ms) = media |t(i) − t(i−1)|</t>
  </si>
  <si>
    <t xml:space="preserve">Resumen por destino (promedio de las 3 series)</t>
  </si>
  <si>
    <t xml:space="preserve">Destino</t>
  </si>
  <si>
    <t xml:space="preserve">Latencia mín. (ms)</t>
  </si>
  <si>
    <t xml:space="preserve">Latencia prom. (ms)</t>
  </si>
  <si>
    <t xml:space="preserve">Latencia máx. (ms)</t>
  </si>
  <si>
    <t xml:space="preserve">Jitter prom. (ms)</t>
  </si>
  <si>
    <t xml:space="preserve">PC-ADM-1</t>
  </si>
  <si>
    <t xml:space="preserve">PC-NORTE-1</t>
  </si>
  <si>
    <t xml:space="preserve">PC-SUR-1</t>
  </si>
  <si>
    <t xml:space="preserve">PC-OCC-1</t>
  </si>
  <si>
    <t xml:space="preserve">Ejemplo de jitter</t>
  </si>
  <si>
    <t xml:space="preserve">Tiempos (ms)</t>
  </si>
  <si>
    <t xml:space="preserve">Jitter (ms)</t>
  </si>
  <si>
    <t xml:space="preserve">(|10−2| + |4−10| + |12−4| + |3−12|) ÷ 4 = 31 ÷ 4 = 7.75 ms. El método anterior, (máx − mín) ÷ 2, daría 5 ms y no mide la variación entre paquetes consecutivos.</t>
  </si>
  <si>
    <t xml:space="preserve">Throughput FTP</t>
  </si>
  <si>
    <t xml:space="preserve">Transferencia</t>
  </si>
  <si>
    <t xml:space="preserve">Tamaño (bytes)</t>
  </si>
  <si>
    <t xml:space="preserve">Tiempo (s)</t>
  </si>
  <si>
    <t xml:space="preserve">Throughput (kbps)</t>
  </si>
  <si>
    <t xml:space="preserve">PC-ING-1 → SRV-FTP (LAN)</t>
  </si>
  <si>
    <t xml:space="preserve">bytes × 8 ÷ s ÷ 1000</t>
  </si>
  <si>
    <t xml:space="preserve">PC-NORTE-1 → SRV-FTP (WAN serial 64 kbps, sin Fast Forward)</t>
  </si>
  <si>
    <t xml:space="preserve">Sin Fast Forward. Transferencia funcional; medición no representativa: PT no limita TCP a los 64 kbps del clock rate; no representativo.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</si>
</sst>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.00%"/>
    <numFmt numFmtId="167" formatCode="0%"/>
    <numFmt numFmtId="168" formatCode="General"/>
    <numFmt numFmtId="169" formatCode="0.00"/>
    <numFmt numFmtId="170" formatCode="#,##0"/>
    <numFmt numFmtId="171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0.0%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sz val="11"/>
      <name val="0.0"/>
      <family val="0"/>
      <charset val="1"/>
    </font>
    <font>
      <sz val="11"/>
      <name val="0.00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f aca="false">COUNT('VLSM Departamental'!D6:D12)</f>
        <v>7</v>
      </c>
      <c r="C5" s="4" t="n">
        <f aca="false">SUM('VLSM Departamental'!D6:D12)</f>
        <v>745</v>
      </c>
      <c r="D5" s="4" t="n">
        <f aca="false">SUM('VLSM Departamental'!G6:G12)</f>
        <v>1088</v>
      </c>
      <c r="E5" s="4" t="n">
        <f aca="false">SUM('VLSM Departamental'!H6:H12)</f>
        <v>1074</v>
      </c>
      <c r="F5" s="5" t="n">
        <f aca="false">IF(D5=0,"",C5/D5)</f>
        <v>0.684742647058824</v>
      </c>
      <c r="G5" s="6" t="str">
        <f aca="false">"="&amp;C5&amp;" ÷ "&amp;D5&amp;" × 100"</f>
        <v>=745 ÷ 1088 × 100</v>
      </c>
    </row>
    <row r="6" customFormat="false" ht="15" hidden="false" customHeight="false" outlineLevel="0" collapsed="false">
      <c r="A6" s="4" t="s">
        <v>10</v>
      </c>
      <c r="B6" s="4" t="n">
        <f aca="false">COUNT('VLSM Complementario'!D6:D8)</f>
        <v>3</v>
      </c>
      <c r="C6" s="4" t="n">
        <f aca="false">SUM('VLSM Complementario'!D6:D8)</f>
        <v>320</v>
      </c>
      <c r="D6" s="4" t="n">
        <f aca="false">SUM('VLSM Complementario'!G6:G8)</f>
        <v>416</v>
      </c>
      <c r="E6" s="4" t="n">
        <f aca="false">SUM('VLSM Complementario'!H6:H8)</f>
        <v>410</v>
      </c>
      <c r="F6" s="5" t="n">
        <f aca="false">IF(D6=0,"",C6/D6)</f>
        <v>0.769230769230769</v>
      </c>
      <c r="G6" s="6" t="str">
        <f aca="false">"="&amp;C6&amp;" ÷ "&amp;D6&amp;" × 100"</f>
        <v>=320 ÷ 416 × 100</v>
      </c>
    </row>
    <row r="7" customFormat="false" ht="15" hidden="false" customHeight="false" outlineLevel="0" collapsed="false">
      <c r="A7" s="7" t="s">
        <v>11</v>
      </c>
      <c r="B7" s="7" t="n">
        <f aca="false">B5+B6</f>
        <v>10</v>
      </c>
      <c r="C7" s="7" t="n">
        <f aca="false">C5+C6</f>
        <v>1065</v>
      </c>
      <c r="D7" s="7" t="n">
        <f aca="false">D5+D6</f>
        <v>1504</v>
      </c>
      <c r="E7" s="7" t="n">
        <f aca="false">E5+E6</f>
        <v>1484</v>
      </c>
      <c r="F7" s="8" t="n">
        <f aca="false">IF(D7=0,"",C7/D7)</f>
        <v>0.70811170212766</v>
      </c>
      <c r="G7" s="6" t="str">
        <f aca="false">"="&amp;C7&amp;" ÷ "&amp;D7&amp;" × 100"</f>
        <v>=1065 ÷ 1504 × 100</v>
      </c>
    </row>
    <row r="8" customFormat="false" ht="15" hidden="false" customHeight="false" outlineLevel="0" collapsed="false">
      <c r="A8" s="4" t="s">
        <v>12</v>
      </c>
      <c r="B8" s="4" t="n">
        <f aca="false">COUNTA('FLSM Enlaces'!B6:B13)</f>
        <v>8</v>
      </c>
      <c r="C8" s="4" t="n">
        <f aca="false">B11*2</f>
        <v>12</v>
      </c>
      <c r="D8" s="4" t="n">
        <f aca="false">B8*2^(32-'FLSM Enlaces'!H3)</f>
        <v>32</v>
      </c>
      <c r="E8" s="4" t="n">
        <f aca="false">SUM('FLSM Enlaces'!L6:L13)</f>
        <v>16</v>
      </c>
      <c r="F8" s="5" t="n">
        <f aca="false">IF(D8=0,"",C8/D8)</f>
        <v>0.375</v>
      </c>
      <c r="G8" s="6" t="str">
        <f aca="false">"="&amp;C8&amp;" ÷ "&amp;D8&amp;" × 100"</f>
        <v>=12 ÷ 32 × 100</v>
      </c>
    </row>
    <row r="9" customFormat="false" ht="15" hidden="false" customHeight="false" outlineLevel="0" collapsed="false">
      <c r="A9" s="7" t="s">
        <v>13</v>
      </c>
      <c r="B9" s="7" t="n">
        <f aca="false">B7+B8</f>
        <v>18</v>
      </c>
      <c r="C9" s="7" t="n">
        <f aca="false">C7+C8</f>
        <v>1077</v>
      </c>
      <c r="D9" s="7" t="n">
        <f aca="false">D7+D8</f>
        <v>1536</v>
      </c>
      <c r="E9" s="7" t="n">
        <f aca="false">E7+E8</f>
        <v>1500</v>
      </c>
      <c r="F9" s="8" t="n">
        <f aca="false">IF(D9=0,"",C9/D9)</f>
        <v>0.701171875</v>
      </c>
      <c r="G9" s="6" t="str">
        <f aca="false">"="&amp;C9&amp;" ÷ "&amp;D9&amp;" × 100"</f>
        <v>=1077 ÷ 1536 × 100</v>
      </c>
    </row>
    <row r="11" customFormat="false" ht="15" hidden="false" customHeight="false" outlineLevel="0" collapsed="false">
      <c r="A11" s="9" t="s">
        <v>14</v>
      </c>
      <c r="B11" s="10" t="n">
        <v>6</v>
      </c>
      <c r="C11" s="11" t="s">
        <v>15</v>
      </c>
    </row>
    <row r="13" customFormat="false" ht="15" hidden="false" customHeight="false" outlineLevel="0" collapsed="false">
      <c r="A13" s="9" t="s">
        <v>16</v>
      </c>
    </row>
    <row r="14" customFormat="false" ht="15" hidden="false" customHeight="false" outlineLevel="0" collapsed="false">
      <c r="A14" s="11" t="s">
        <v>17</v>
      </c>
    </row>
    <row r="15" customFormat="false" ht="15" hidden="false" customHeight="false" outlineLevel="0" collapsed="false">
      <c r="A15" s="11" t="s">
        <v>18</v>
      </c>
    </row>
    <row r="16" customFormat="false" ht="15" hidden="false" customHeight="false" outlineLevel="0" collapsed="false">
      <c r="A16" s="11" t="s">
        <v>19</v>
      </c>
    </row>
    <row r="17" customFormat="false" ht="15" hidden="false" customHeight="false" outlineLevel="0" collapsed="false">
      <c r="A17" s="11" t="s">
        <v>20</v>
      </c>
    </row>
    <row r="19" customFormat="false" ht="15" hidden="false" customHeight="false" outlineLevel="0" collapsed="false">
      <c r="A19" s="9" t="s">
        <v>21</v>
      </c>
    </row>
    <row r="20" customFormat="false" ht="26.85" hidden="false" customHeight="false" outlineLevel="0" collapsed="false">
      <c r="A20" s="3" t="s">
        <v>22</v>
      </c>
      <c r="B20" s="3" t="s">
        <v>23</v>
      </c>
      <c r="C20" s="3" t="s">
        <v>24</v>
      </c>
      <c r="D20" s="3" t="s">
        <v>25</v>
      </c>
    </row>
    <row r="21" customFormat="false" ht="15" hidden="false" customHeight="false" outlineLevel="0" collapsed="false">
      <c r="A21" s="4" t="s">
        <v>26</v>
      </c>
      <c r="B21" s="4" t="n">
        <f aca="false">'CIDR Resumen'!B12</f>
        <v>2048</v>
      </c>
      <c r="C21" s="4" t="n">
        <f aca="false">D9</f>
        <v>1536</v>
      </c>
      <c r="D21" s="5" t="n">
        <f aca="false">C21/B21</f>
        <v>0.75</v>
      </c>
    </row>
    <row r="22" customFormat="false" ht="15" hidden="false" customHeight="false" outlineLevel="0" collapsed="false">
      <c r="A22" s="4" t="s">
        <v>27</v>
      </c>
      <c r="B22" s="4" t="n">
        <f aca="false">2^16</f>
        <v>65536</v>
      </c>
      <c r="C22" s="4" t="n">
        <f aca="false">D9</f>
        <v>1536</v>
      </c>
      <c r="D22" s="12" t="n">
        <f aca="false">C22/B22</f>
        <v>0.0234375</v>
      </c>
    </row>
    <row r="23" customFormat="false" ht="15" hidden="false" customHeight="false" outlineLevel="0" collapsed="false">
      <c r="A23" s="4" t="s">
        <v>28</v>
      </c>
      <c r="B23" s="4" t="str">
        <f aca="false">"172.30.4.96"</f>
        <v>172.30.4.96</v>
      </c>
      <c r="C23" s="1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6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26.85" hidden="false" customHeight="false" outlineLevel="0" collapsed="false">
      <c r="A4" s="3" t="s">
        <v>32</v>
      </c>
      <c r="B4" s="3" t="s">
        <v>33</v>
      </c>
      <c r="C4" s="3" t="s">
        <v>34</v>
      </c>
      <c r="D4" s="3" t="s">
        <v>35</v>
      </c>
    </row>
    <row r="5" customFormat="false" ht="15" hidden="false" customHeight="false" outlineLevel="0" collapsed="false">
      <c r="A5" s="4" t="s">
        <v>36</v>
      </c>
      <c r="B5" s="4" t="s">
        <v>37</v>
      </c>
      <c r="C5" s="4" t="s">
        <v>38</v>
      </c>
      <c r="D5" s="11"/>
    </row>
    <row r="6" customFormat="false" ht="15" hidden="false" customHeight="false" outlineLevel="0" collapsed="false">
      <c r="A6" s="4" t="s">
        <v>39</v>
      </c>
      <c r="B6" s="4" t="n">
        <f aca="false">'VLSM Complementario'!E7</f>
        <v>7</v>
      </c>
      <c r="C6" s="4" t="n">
        <f aca="false">'VLSM Complementario'!E6</f>
        <v>8</v>
      </c>
      <c r="D6" s="11"/>
    </row>
    <row r="7" customFormat="false" ht="15" hidden="false" customHeight="false" outlineLevel="0" collapsed="false">
      <c r="A7" s="4" t="s">
        <v>40</v>
      </c>
      <c r="B7" s="4" t="n">
        <f aca="false">'VLSM Complementario'!H7</f>
        <v>126</v>
      </c>
      <c r="C7" s="4" t="n">
        <f aca="false">'VLSM Complementario'!H6</f>
        <v>254</v>
      </c>
      <c r="D7" s="11"/>
    </row>
    <row r="8" customFormat="false" ht="15" hidden="false" customHeight="false" outlineLevel="0" collapsed="false">
      <c r="A8" s="4" t="s">
        <v>41</v>
      </c>
      <c r="B8" s="13" t="n">
        <v>1</v>
      </c>
      <c r="C8" s="13" t="n">
        <v>1</v>
      </c>
      <c r="D8" s="11" t="s">
        <v>42</v>
      </c>
    </row>
    <row r="9" customFormat="false" ht="15" hidden="false" customHeight="false" outlineLevel="0" collapsed="false">
      <c r="A9" s="4" t="s">
        <v>43</v>
      </c>
      <c r="B9" s="13" t="n">
        <v>2</v>
      </c>
      <c r="C9" s="13" t="n">
        <v>0</v>
      </c>
      <c r="D9" s="11" t="s">
        <v>44</v>
      </c>
    </row>
    <row r="10" customFormat="false" ht="15" hidden="false" customHeight="false" outlineLevel="0" collapsed="false">
      <c r="A10" s="4" t="s">
        <v>45</v>
      </c>
      <c r="B10" s="13" t="n">
        <v>7</v>
      </c>
      <c r="C10" s="13" t="n">
        <v>9</v>
      </c>
      <c r="D10" s="11" t="s">
        <v>46</v>
      </c>
    </row>
    <row r="11" customFormat="false" ht="15" hidden="false" customHeight="false" outlineLevel="0" collapsed="false">
      <c r="A11" s="7" t="s">
        <v>47</v>
      </c>
      <c r="B11" s="4" t="n">
        <f aca="false">B7-B8-B9-B10</f>
        <v>116</v>
      </c>
      <c r="C11" s="4" t="n">
        <f aca="false">C7-C8-C9-C10</f>
        <v>244</v>
      </c>
      <c r="D11" s="11"/>
    </row>
    <row r="12" customFormat="false" ht="15" hidden="false" customHeight="false" outlineLevel="0" collapsed="false">
      <c r="A12" s="4" t="s">
        <v>48</v>
      </c>
      <c r="B12" s="14" t="n">
        <v>11</v>
      </c>
      <c r="C12" s="14" t="n">
        <v>11</v>
      </c>
      <c r="D12" s="11" t="s">
        <v>49</v>
      </c>
    </row>
    <row r="13" customFormat="false" ht="15" hidden="false" customHeight="false" outlineLevel="0" collapsed="false">
      <c r="A13" s="4" t="s">
        <v>50</v>
      </c>
      <c r="B13" s="14" t="n">
        <v>85</v>
      </c>
      <c r="C13" s="14" t="n">
        <v>180</v>
      </c>
      <c r="D13" s="11" t="s">
        <v>51</v>
      </c>
    </row>
    <row r="14" customFormat="false" ht="15" hidden="false" customHeight="false" outlineLevel="0" collapsed="false">
      <c r="A14" s="4" t="s">
        <v>52</v>
      </c>
      <c r="B14" s="14" t="n">
        <v>86</v>
      </c>
      <c r="C14" s="14" t="n">
        <v>181</v>
      </c>
      <c r="D14" s="11" t="s">
        <v>49</v>
      </c>
    </row>
    <row r="15" customFormat="false" ht="15" hidden="false" customHeight="false" outlineLevel="0" collapsed="false">
      <c r="A15" s="4" t="s">
        <v>53</v>
      </c>
      <c r="B15" s="14" t="n">
        <v>120</v>
      </c>
      <c r="C15" s="14" t="n">
        <v>250</v>
      </c>
      <c r="D15" s="11" t="s">
        <v>54</v>
      </c>
    </row>
    <row r="16" customFormat="false" ht="15" hidden="false" customHeight="false" outlineLevel="0" collapsed="false">
      <c r="A16" s="7" t="s">
        <v>55</v>
      </c>
      <c r="B16" s="4" t="n">
        <f aca="false">IF(COUNT(B12:B15)&lt;4,"pendiente",(B13-B12+1)+(B15-B14+1))</f>
        <v>110</v>
      </c>
      <c r="C16" s="4" t="n">
        <f aca="false">IF(COUNT(C12:C15)&lt;4,"pendiente",(C13-C12+1)+(C15-C14+1))</f>
        <v>240</v>
      </c>
      <c r="D16" s="11" t="s">
        <v>56</v>
      </c>
    </row>
    <row r="17" customFormat="false" ht="15" hidden="false" customHeight="false" outlineLevel="0" collapsed="false">
      <c r="A17" s="4" t="s">
        <v>57</v>
      </c>
      <c r="B17" s="4" t="str">
        <f aca="false">IF(COUNT(B12:B15)&lt;4,"pendiente",IF(B14&gt;B13,"No","Sí, corregir"))</f>
        <v>No</v>
      </c>
      <c r="C17" s="4" t="str">
        <f aca="false">IF(COUNT(C12:C15)&lt;4,"pendiente",IF(C14&gt;C13,"No","Sí, corregir"))</f>
        <v>No</v>
      </c>
      <c r="D17" s="11"/>
    </row>
    <row r="18" customFormat="false" ht="15" hidden="false" customHeight="false" outlineLevel="0" collapsed="false">
      <c r="A18" s="4" t="s">
        <v>58</v>
      </c>
      <c r="B18" s="4" t="str">
        <f aca="false">IF(COUNT(B12:B15)&lt;4,"pendiente",IF(AND(B12&gt;B10+B8+B9,B15&lt;=B7),"Sí","No"))</f>
        <v>Sí</v>
      </c>
      <c r="C18" s="4" t="str">
        <f aca="false">IF(COUNT(C12:C15)&lt;4,"pendiente",IF(AND(C12&gt;C10+C8+C9,C15&lt;=C7),"Sí","No"))</f>
        <v>Sí</v>
      </c>
      <c r="D18" s="11" t="s">
        <v>59</v>
      </c>
    </row>
    <row r="19" customFormat="false" ht="15" hidden="false" customHeight="false" outlineLevel="0" collapsed="false">
      <c r="A19" s="4" t="s">
        <v>60</v>
      </c>
      <c r="B19" s="4" t="n">
        <f aca="false">'VLSM Complementario'!D7</f>
        <v>100</v>
      </c>
      <c r="C19" s="4" t="n">
        <f aca="false">'VLSM Complementario'!D6</f>
        <v>200</v>
      </c>
      <c r="D19" s="11" t="s">
        <v>61</v>
      </c>
    </row>
    <row r="20" customFormat="false" ht="15" hidden="false" customHeight="false" outlineLevel="0" collapsed="false">
      <c r="A20" s="4" t="s">
        <v>62</v>
      </c>
      <c r="B20" s="5" t="n">
        <f aca="false">B19/B11</f>
        <v>0.862068965517241</v>
      </c>
      <c r="C20" s="5" t="n">
        <f aca="false">C19/C11</f>
        <v>0.819672131147541</v>
      </c>
      <c r="D20" s="11"/>
    </row>
    <row r="21" customFormat="false" ht="15" hidden="false" customHeight="false" outlineLevel="0" collapsed="false">
      <c r="A21" s="4" t="s">
        <v>63</v>
      </c>
      <c r="B21" s="4" t="n">
        <f aca="false">B11-B19</f>
        <v>16</v>
      </c>
      <c r="C21" s="4" t="n">
        <f aca="false">C11-C19</f>
        <v>44</v>
      </c>
      <c r="D21" s="11"/>
    </row>
    <row r="22" customFormat="false" ht="15" hidden="false" customHeight="false" outlineLevel="0" collapsed="false">
      <c r="A22" s="4" t="s">
        <v>64</v>
      </c>
      <c r="B22" s="13" t="n">
        <v>1</v>
      </c>
      <c r="C22" s="13" t="n">
        <v>1</v>
      </c>
      <c r="D22" s="11" t="s">
        <v>65</v>
      </c>
    </row>
    <row r="24" customFormat="false" ht="15" hidden="false" customHeight="false" outlineLevel="0" collapsed="false">
      <c r="A24" s="11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10" min="4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30"/>
    <col collapsed="false" customWidth="true" hidden="false" outlineLevel="0" max="18" min="18" style="0" width="15"/>
    <col collapsed="false" customWidth="true" hidden="false" outlineLevel="0" max="19" min="19" style="0" width="17"/>
    <col collapsed="false" customWidth="true" hidden="false" outlineLevel="0" max="20" min="20" style="0" width="11"/>
    <col collapsed="false" customWidth="true" hidden="false" outlineLevel="0" max="21" min="21" style="0" width="13"/>
  </cols>
  <sheetData>
    <row r="1" customFormat="false" ht="16.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3" customFormat="false" ht="15" hidden="false" customHeight="false" outlineLevel="0" collapsed="false">
      <c r="A3" s="9" t="s">
        <v>69</v>
      </c>
      <c r="D3" s="13" t="n">
        <v>2400</v>
      </c>
    </row>
    <row r="4" customFormat="false" ht="15" hidden="false" customHeight="false" outlineLevel="0" collapsed="false">
      <c r="A4" s="9" t="s">
        <v>70</v>
      </c>
      <c r="B4" s="7" t="s">
        <v>71</v>
      </c>
      <c r="C4" s="7" t="s">
        <v>72</v>
      </c>
      <c r="D4" s="7" t="s">
        <v>73</v>
      </c>
    </row>
    <row r="5" customFormat="false" ht="15" hidden="false" customHeight="false" outlineLevel="0" collapsed="false">
      <c r="B5" s="15" t="n">
        <v>0.25</v>
      </c>
      <c r="C5" s="15" t="n">
        <v>0.33</v>
      </c>
      <c r="D5" s="16" t="n">
        <f aca="false">1-B5-C5</f>
        <v>0.42</v>
      </c>
      <c r="E5" s="11" t="s">
        <v>74</v>
      </c>
    </row>
    <row r="7" customFormat="false" ht="39.55" hidden="false" customHeight="false" outlineLevel="0" collapsed="false">
      <c r="A7" s="3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  <c r="P7" s="3" t="s">
        <v>90</v>
      </c>
      <c r="Q7" s="3" t="s">
        <v>91</v>
      </c>
      <c r="R7" s="3" t="s">
        <v>92</v>
      </c>
      <c r="S7" s="3" t="s">
        <v>93</v>
      </c>
      <c r="T7" s="3" t="s">
        <v>94</v>
      </c>
      <c r="U7" s="3" t="s">
        <v>95</v>
      </c>
    </row>
    <row r="8" customFormat="false" ht="15" hidden="false" customHeight="false" outlineLevel="0" collapsed="false">
      <c r="A8" s="4" t="n">
        <v>1</v>
      </c>
      <c r="B8" s="4" t="s">
        <v>96</v>
      </c>
      <c r="C8" s="4" t="s">
        <v>97</v>
      </c>
      <c r="D8" s="17" t="n">
        <f aca="false">'VLSM Departamental'!D6</f>
        <v>210</v>
      </c>
      <c r="E8" s="18" t="n">
        <f aca="false">D8/$D$15</f>
        <v>0.281879194630872</v>
      </c>
      <c r="F8" s="4" t="n">
        <f aca="false">ROUND($D$3*E8,0)</f>
        <v>677</v>
      </c>
      <c r="G8" s="4" t="n">
        <f aca="false">ROUND(F8*$B$5,0)</f>
        <v>169</v>
      </c>
      <c r="H8" s="4" t="n">
        <f aca="false">ROUND(F8*($B$5+$C$5),0)</f>
        <v>393</v>
      </c>
      <c r="I8" s="4" t="n">
        <f aca="false">F8</f>
        <v>677</v>
      </c>
      <c r="J8" s="4" t="n">
        <f aca="false">D8+I8</f>
        <v>887</v>
      </c>
      <c r="K8" s="4" t="n">
        <f aca="false">F8</f>
        <v>677</v>
      </c>
      <c r="L8" s="4" t="n">
        <f aca="false">CEILING(LOG(K8+2,2),1)</f>
        <v>10</v>
      </c>
      <c r="M8" s="4" t="str">
        <f aca="false">"/"&amp;(32-L8)</f>
        <v>/22</v>
      </c>
      <c r="N8" s="4" t="n">
        <f aca="false">2^L8</f>
        <v>1024</v>
      </c>
      <c r="O8" s="13" t="n">
        <v>2048</v>
      </c>
      <c r="P8" s="4" t="str">
        <f aca="false">"172.30."&amp;INT(O8/256)&amp;"."&amp;MOD(O8,256)</f>
        <v>172.30.8.0</v>
      </c>
      <c r="Q8" s="4" t="str">
        <f aca="false">"172.30."&amp;INT((O8+1)/256)&amp;"."&amp;MOD((O8+1),256)&amp;" – "&amp;"172.30."&amp;INT((O8+N8-2)/256)&amp;"."&amp;MOD((O8+N8-2),256)</f>
        <v>172.30.8.1 – 172.30.11.254</v>
      </c>
      <c r="R8" s="4" t="str">
        <f aca="false">"172.30."&amp;INT((O8+N8-1)/256)&amp;"."&amp;MOD((O8+N8-1),256)</f>
        <v>172.30.11.255</v>
      </c>
      <c r="S8" s="4" t="str">
        <f aca="false">IF(L8&lt;=8,"255.255.255."&amp;(256-N8),"255.255."&amp;(256-N8/256)&amp;".0")</f>
        <v>255.255.252.0</v>
      </c>
      <c r="T8" s="4" t="str">
        <f aca="false">IF(MOD(O8,N8)=0,"Alineado","Revisar")</f>
        <v>Alineado</v>
      </c>
      <c r="U8" s="18" t="n">
        <f aca="false">K8/N8</f>
        <v>0.6611328125</v>
      </c>
    </row>
    <row r="9" customFormat="false" ht="15" hidden="false" customHeight="false" outlineLevel="0" collapsed="false">
      <c r="A9" s="4" t="n">
        <v>2</v>
      </c>
      <c r="B9" s="4" t="s">
        <v>98</v>
      </c>
      <c r="C9" s="4" t="s">
        <v>99</v>
      </c>
      <c r="D9" s="17" t="n">
        <f aca="false">'VLSM Departamental'!D7</f>
        <v>140</v>
      </c>
      <c r="E9" s="18" t="n">
        <f aca="false">D9/$D$15</f>
        <v>0.187919463087248</v>
      </c>
      <c r="F9" s="4" t="n">
        <f aca="false">ROUND($D$3*E9,0)</f>
        <v>451</v>
      </c>
      <c r="G9" s="4" t="n">
        <f aca="false">ROUND(F9*$B$5,0)</f>
        <v>113</v>
      </c>
      <c r="H9" s="4" t="n">
        <f aca="false">ROUND(F9*($B$5+$C$5),0)</f>
        <v>262</v>
      </c>
      <c r="I9" s="4" t="n">
        <f aca="false">F9</f>
        <v>451</v>
      </c>
      <c r="J9" s="4" t="n">
        <f aca="false">D9+I9</f>
        <v>591</v>
      </c>
      <c r="K9" s="4" t="n">
        <f aca="false">F9</f>
        <v>451</v>
      </c>
      <c r="L9" s="4" t="n">
        <f aca="false">CEILING(LOG(K9+2,2),1)</f>
        <v>9</v>
      </c>
      <c r="M9" s="4" t="str">
        <f aca="false">"/"&amp;(32-L9)</f>
        <v>/23</v>
      </c>
      <c r="N9" s="4" t="n">
        <f aca="false">2^L9</f>
        <v>512</v>
      </c>
      <c r="O9" s="13" t="n">
        <v>4096</v>
      </c>
      <c r="P9" s="4" t="str">
        <f aca="false">"172.30."&amp;INT(O9/256)&amp;"."&amp;MOD(O9,256)</f>
        <v>172.30.16.0</v>
      </c>
      <c r="Q9" s="4" t="str">
        <f aca="false">"172.30."&amp;INT((O9+1)/256)&amp;"."&amp;MOD((O9+1),256)&amp;" – "&amp;"172.30."&amp;INT((O9+N9-2)/256)&amp;"."&amp;MOD((O9+N9-2),256)</f>
        <v>172.30.16.1 – 172.30.17.254</v>
      </c>
      <c r="R9" s="4" t="str">
        <f aca="false">"172.30."&amp;INT((O9+N9-1)/256)&amp;"."&amp;MOD((O9+N9-1),256)</f>
        <v>172.30.17.255</v>
      </c>
      <c r="S9" s="4" t="str">
        <f aca="false">IF(L9&lt;=8,"255.255.255."&amp;(256-N9),"255.255."&amp;(256-N9/256)&amp;".0")</f>
        <v>255.255.254.0</v>
      </c>
      <c r="T9" s="4" t="str">
        <f aca="false">IF(MOD(O9,N9)=0,"Alineado","Revisar")</f>
        <v>Alineado</v>
      </c>
      <c r="U9" s="18" t="n">
        <f aca="false">K9/N9</f>
        <v>0.880859375</v>
      </c>
    </row>
    <row r="10" customFormat="false" ht="15" hidden="false" customHeight="false" outlineLevel="0" collapsed="false">
      <c r="A10" s="4" t="n">
        <v>3</v>
      </c>
      <c r="B10" s="4" t="s">
        <v>100</v>
      </c>
      <c r="C10" s="4" t="s">
        <v>97</v>
      </c>
      <c r="D10" s="17" t="n">
        <f aca="false">'VLSM Departamental'!D8</f>
        <v>120</v>
      </c>
      <c r="E10" s="18" t="n">
        <f aca="false">D10/$D$15</f>
        <v>0.161073825503356</v>
      </c>
      <c r="F10" s="4" t="n">
        <f aca="false">ROUND($D$3*E10,0)</f>
        <v>387</v>
      </c>
      <c r="G10" s="4" t="n">
        <f aca="false">ROUND(F10*$B$5,0)</f>
        <v>97</v>
      </c>
      <c r="H10" s="4" t="n">
        <f aca="false">ROUND(F10*($B$5+$C$5),0)</f>
        <v>224</v>
      </c>
      <c r="I10" s="4" t="n">
        <f aca="false">F10</f>
        <v>387</v>
      </c>
      <c r="J10" s="4" t="n">
        <f aca="false">D10+I10</f>
        <v>507</v>
      </c>
      <c r="K10" s="4" t="n">
        <f aca="false">F10</f>
        <v>387</v>
      </c>
      <c r="L10" s="4" t="n">
        <f aca="false">CEILING(LOG(K10+2,2),1)</f>
        <v>9</v>
      </c>
      <c r="M10" s="4" t="str">
        <f aca="false">"/"&amp;(32-L10)</f>
        <v>/23</v>
      </c>
      <c r="N10" s="4" t="n">
        <f aca="false">2^L10</f>
        <v>512</v>
      </c>
      <c r="O10" s="13" t="n">
        <v>3072</v>
      </c>
      <c r="P10" s="4" t="str">
        <f aca="false">"172.30."&amp;INT(O10/256)&amp;"."&amp;MOD(O10,256)</f>
        <v>172.30.12.0</v>
      </c>
      <c r="Q10" s="4" t="str">
        <f aca="false">"172.30."&amp;INT((O10+1)/256)&amp;"."&amp;MOD((O10+1),256)&amp;" – "&amp;"172.30."&amp;INT((O10+N10-2)/256)&amp;"."&amp;MOD((O10+N10-2),256)</f>
        <v>172.30.12.1 – 172.30.13.254</v>
      </c>
      <c r="R10" s="4" t="str">
        <f aca="false">"172.30."&amp;INT((O10+N10-1)/256)&amp;"."&amp;MOD((O10+N10-1),256)</f>
        <v>172.30.13.255</v>
      </c>
      <c r="S10" s="4" t="str">
        <f aca="false">IF(L10&lt;=8,"255.255.255."&amp;(256-N10),"255.255."&amp;(256-N10/256)&amp;".0")</f>
        <v>255.255.254.0</v>
      </c>
      <c r="T10" s="4" t="str">
        <f aca="false">IF(MOD(O10,N10)=0,"Alineado","Revisar")</f>
        <v>Alineado</v>
      </c>
      <c r="U10" s="18" t="n">
        <f aca="false">K10/N10</f>
        <v>0.755859375</v>
      </c>
    </row>
    <row r="11" customFormat="false" ht="15" hidden="false" customHeight="false" outlineLevel="0" collapsed="false">
      <c r="A11" s="4" t="n">
        <v>4</v>
      </c>
      <c r="B11" s="4" t="s">
        <v>101</v>
      </c>
      <c r="C11" s="4" t="s">
        <v>102</v>
      </c>
      <c r="D11" s="17" t="n">
        <f aca="false">'VLSM Departamental'!D9</f>
        <v>95</v>
      </c>
      <c r="E11" s="18" t="n">
        <f aca="false">D11/$D$15</f>
        <v>0.12751677852349</v>
      </c>
      <c r="F11" s="4" t="n">
        <f aca="false">ROUND($D$3*E11,0)</f>
        <v>306</v>
      </c>
      <c r="G11" s="4" t="n">
        <f aca="false">ROUND(F11*$B$5,0)</f>
        <v>77</v>
      </c>
      <c r="H11" s="4" t="n">
        <f aca="false">ROUND(F11*($B$5+$C$5),0)</f>
        <v>177</v>
      </c>
      <c r="I11" s="4" t="n">
        <f aca="false">F11</f>
        <v>306</v>
      </c>
      <c r="J11" s="4" t="n">
        <f aca="false">D11+I11</f>
        <v>401</v>
      </c>
      <c r="K11" s="4" t="n">
        <f aca="false">F11</f>
        <v>306</v>
      </c>
      <c r="L11" s="4" t="n">
        <f aca="false">CEILING(LOG(K11+2,2),1)</f>
        <v>9</v>
      </c>
      <c r="M11" s="4" t="str">
        <f aca="false">"/"&amp;(32-L11)</f>
        <v>/23</v>
      </c>
      <c r="N11" s="4" t="n">
        <f aca="false">2^L11</f>
        <v>512</v>
      </c>
      <c r="O11" s="13" t="n">
        <v>5120</v>
      </c>
      <c r="P11" s="4" t="str">
        <f aca="false">"172.30."&amp;INT(O11/256)&amp;"."&amp;MOD(O11,256)</f>
        <v>172.30.20.0</v>
      </c>
      <c r="Q11" s="4" t="str">
        <f aca="false">"172.30."&amp;INT((O11+1)/256)&amp;"."&amp;MOD((O11+1),256)&amp;" – "&amp;"172.30."&amp;INT((O11+N11-2)/256)&amp;"."&amp;MOD((O11+N11-2),256)</f>
        <v>172.30.20.1 – 172.30.21.254</v>
      </c>
      <c r="R11" s="4" t="str">
        <f aca="false">"172.30."&amp;INT((O11+N11-1)/256)&amp;"."&amp;MOD((O11+N11-1),256)</f>
        <v>172.30.21.255</v>
      </c>
      <c r="S11" s="4" t="str">
        <f aca="false">IF(L11&lt;=8,"255.255.255."&amp;(256-N11),"255.255."&amp;(256-N11/256)&amp;".0")</f>
        <v>255.255.254.0</v>
      </c>
      <c r="T11" s="4" t="str">
        <f aca="false">IF(MOD(O11,N11)=0,"Alineado","Revisar")</f>
        <v>Alineado</v>
      </c>
      <c r="U11" s="18" t="n">
        <f aca="false">K11/N11</f>
        <v>0.59765625</v>
      </c>
    </row>
    <row r="12" customFormat="false" ht="15" hidden="false" customHeight="false" outlineLevel="0" collapsed="false">
      <c r="A12" s="4" t="n">
        <v>5</v>
      </c>
      <c r="B12" s="4" t="s">
        <v>103</v>
      </c>
      <c r="C12" s="4" t="s">
        <v>104</v>
      </c>
      <c r="D12" s="17" t="n">
        <f aca="false">'VLSM Departamental'!D10</f>
        <v>80</v>
      </c>
      <c r="E12" s="18" t="n">
        <f aca="false">D12/$D$15</f>
        <v>0.10738255033557</v>
      </c>
      <c r="F12" s="4" t="n">
        <f aca="false">ROUND($D$3*E12,0)</f>
        <v>258</v>
      </c>
      <c r="G12" s="4" t="n">
        <f aca="false">ROUND(F12*$B$5,0)</f>
        <v>65</v>
      </c>
      <c r="H12" s="4" t="n">
        <f aca="false">ROUND(F12*($B$5+$C$5),0)</f>
        <v>150</v>
      </c>
      <c r="I12" s="4" t="n">
        <f aca="false">F12</f>
        <v>258</v>
      </c>
      <c r="J12" s="4" t="n">
        <f aca="false">D12+I12</f>
        <v>338</v>
      </c>
      <c r="K12" s="4" t="n">
        <f aca="false">F12</f>
        <v>258</v>
      </c>
      <c r="L12" s="4" t="n">
        <f aca="false">CEILING(LOG(K12+2,2),1)</f>
        <v>9</v>
      </c>
      <c r="M12" s="4" t="str">
        <f aca="false">"/"&amp;(32-L12)</f>
        <v>/23</v>
      </c>
      <c r="N12" s="4" t="n">
        <f aca="false">2^L12</f>
        <v>512</v>
      </c>
      <c r="O12" s="13" t="n">
        <v>6144</v>
      </c>
      <c r="P12" s="4" t="str">
        <f aca="false">"172.30."&amp;INT(O12/256)&amp;"."&amp;MOD(O12,256)</f>
        <v>172.30.24.0</v>
      </c>
      <c r="Q12" s="4" t="str">
        <f aca="false">"172.30."&amp;INT((O12+1)/256)&amp;"."&amp;MOD((O12+1),256)&amp;" – "&amp;"172.30."&amp;INT((O12+N12-2)/256)&amp;"."&amp;MOD((O12+N12-2),256)</f>
        <v>172.30.24.1 – 172.30.25.254</v>
      </c>
      <c r="R12" s="4" t="str">
        <f aca="false">"172.30."&amp;INT((O12+N12-1)/256)&amp;"."&amp;MOD((O12+N12-1),256)</f>
        <v>172.30.25.255</v>
      </c>
      <c r="S12" s="4" t="str">
        <f aca="false">IF(L12&lt;=8,"255.255.255."&amp;(256-N12),"255.255."&amp;(256-N12/256)&amp;".0")</f>
        <v>255.255.254.0</v>
      </c>
      <c r="T12" s="4" t="str">
        <f aca="false">IF(MOD(O12,N12)=0,"Alineado","Revisar")</f>
        <v>Alineado</v>
      </c>
      <c r="U12" s="18" t="n">
        <f aca="false">K12/N12</f>
        <v>0.50390625</v>
      </c>
    </row>
    <row r="13" customFormat="false" ht="15" hidden="false" customHeight="false" outlineLevel="0" collapsed="false">
      <c r="A13" s="4" t="n">
        <v>6</v>
      </c>
      <c r="B13" s="4" t="s">
        <v>105</v>
      </c>
      <c r="C13" s="4" t="s">
        <v>97</v>
      </c>
      <c r="D13" s="17" t="n">
        <f aca="false">'VLSM Departamental'!D11</f>
        <v>65</v>
      </c>
      <c r="E13" s="18" t="n">
        <f aca="false">D13/$D$15</f>
        <v>0.087248322147651</v>
      </c>
      <c r="F13" s="4" t="n">
        <f aca="false">ROUND($D$3*E13,0)</f>
        <v>209</v>
      </c>
      <c r="G13" s="4" t="n">
        <f aca="false">ROUND(F13*$B$5,0)</f>
        <v>52</v>
      </c>
      <c r="H13" s="4" t="n">
        <f aca="false">ROUND(F13*($B$5+$C$5),0)</f>
        <v>121</v>
      </c>
      <c r="I13" s="4" t="n">
        <f aca="false">F13</f>
        <v>209</v>
      </c>
      <c r="J13" s="4" t="n">
        <f aca="false">D13+I13</f>
        <v>274</v>
      </c>
      <c r="K13" s="4" t="n">
        <f aca="false">F13</f>
        <v>209</v>
      </c>
      <c r="L13" s="4" t="n">
        <f aca="false">CEILING(LOG(K13+2,2),1)</f>
        <v>8</v>
      </c>
      <c r="M13" s="4" t="str">
        <f aca="false">"/"&amp;(32-L13)</f>
        <v>/24</v>
      </c>
      <c r="N13" s="4" t="n">
        <f aca="false">2^L13</f>
        <v>256</v>
      </c>
      <c r="O13" s="13" t="n">
        <v>3584</v>
      </c>
      <c r="P13" s="4" t="str">
        <f aca="false">"172.30."&amp;INT(O13/256)&amp;"."&amp;MOD(O13,256)</f>
        <v>172.30.14.0</v>
      </c>
      <c r="Q13" s="4" t="str">
        <f aca="false">"172.30."&amp;INT((O13+1)/256)&amp;"."&amp;MOD((O13+1),256)&amp;" – "&amp;"172.30."&amp;INT((O13+N13-2)/256)&amp;"."&amp;MOD((O13+N13-2),256)</f>
        <v>172.30.14.1 – 172.30.14.254</v>
      </c>
      <c r="R13" s="4" t="str">
        <f aca="false">"172.30."&amp;INT((O13+N13-1)/256)&amp;"."&amp;MOD((O13+N13-1),256)</f>
        <v>172.30.14.255</v>
      </c>
      <c r="S13" s="4" t="str">
        <f aca="false">IF(L13&lt;=8,"255.255.255."&amp;(256-N13),"255.255."&amp;(256-N13/256)&amp;".0")</f>
        <v>255.255.255.0</v>
      </c>
      <c r="T13" s="4" t="str">
        <f aca="false">IF(MOD(O13,N13)=0,"Alineado","Revisar")</f>
        <v>Alineado</v>
      </c>
      <c r="U13" s="18" t="n">
        <f aca="false">K13/N13</f>
        <v>0.81640625</v>
      </c>
    </row>
    <row r="14" customFormat="false" ht="15" hidden="false" customHeight="false" outlineLevel="0" collapsed="false">
      <c r="A14" s="4" t="n">
        <v>7</v>
      </c>
      <c r="B14" s="4" t="s">
        <v>106</v>
      </c>
      <c r="C14" s="4" t="s">
        <v>97</v>
      </c>
      <c r="D14" s="17" t="n">
        <f aca="false">'VLSM Departamental'!D12</f>
        <v>35</v>
      </c>
      <c r="E14" s="18" t="n">
        <f aca="false">D14/$D$15</f>
        <v>0.0469798657718121</v>
      </c>
      <c r="F14" s="4" t="n">
        <f aca="false">$D$3-SUM(F8:F13)</f>
        <v>112</v>
      </c>
      <c r="G14" s="4" t="n">
        <f aca="false">ROUND(F14*$B$5,0)</f>
        <v>28</v>
      </c>
      <c r="H14" s="4" t="n">
        <f aca="false">ROUND(F14*($B$5+$C$5),0)</f>
        <v>65</v>
      </c>
      <c r="I14" s="4" t="n">
        <f aca="false">F14</f>
        <v>112</v>
      </c>
      <c r="J14" s="4" t="n">
        <f aca="false">D14+I14</f>
        <v>147</v>
      </c>
      <c r="K14" s="4" t="n">
        <f aca="false">F14</f>
        <v>112</v>
      </c>
      <c r="L14" s="4" t="n">
        <f aca="false">CEILING(LOG(K14+2,2),1)</f>
        <v>7</v>
      </c>
      <c r="M14" s="4" t="str">
        <f aca="false">"/"&amp;(32-L14)</f>
        <v>/25</v>
      </c>
      <c r="N14" s="4" t="n">
        <f aca="false">2^L14</f>
        <v>128</v>
      </c>
      <c r="O14" s="13" t="n">
        <v>3840</v>
      </c>
      <c r="P14" s="4" t="str">
        <f aca="false">"172.30."&amp;INT(O14/256)&amp;"."&amp;MOD(O14,256)</f>
        <v>172.30.15.0</v>
      </c>
      <c r="Q14" s="4" t="str">
        <f aca="false">"172.30."&amp;INT((O14+1)/256)&amp;"."&amp;MOD((O14+1),256)&amp;" – "&amp;"172.30."&amp;INT((O14+N14-2)/256)&amp;"."&amp;MOD((O14+N14-2),256)</f>
        <v>172.30.15.1 – 172.30.15.126</v>
      </c>
      <c r="R14" s="4" t="str">
        <f aca="false">"172.30."&amp;INT((O14+N14-1)/256)&amp;"."&amp;MOD((O14+N14-1),256)</f>
        <v>172.30.15.127</v>
      </c>
      <c r="S14" s="4" t="str">
        <f aca="false">IF(L14&lt;=8,"255.255.255."&amp;(256-N14),"255.255."&amp;(256-N14/256)&amp;".0")</f>
        <v>255.255.255.128</v>
      </c>
      <c r="T14" s="4" t="str">
        <f aca="false">IF(MOD(O14,N14)=0,"Alineado","Revisar")</f>
        <v>Alineado</v>
      </c>
      <c r="U14" s="18" t="n">
        <f aca="false">K14/N14</f>
        <v>0.875</v>
      </c>
    </row>
    <row r="15" customFormat="false" ht="15" hidden="false" customHeight="false" outlineLevel="0" collapsed="false">
      <c r="B15" s="7" t="s">
        <v>107</v>
      </c>
      <c r="D15" s="7" t="n">
        <f aca="false">SUM(D8:D14)</f>
        <v>745</v>
      </c>
      <c r="E15" s="8" t="n">
        <f aca="false">SUM(E8:E14)</f>
        <v>1</v>
      </c>
      <c r="F15" s="7" t="n">
        <f aca="false">SUM(F8:F14)</f>
        <v>2400</v>
      </c>
      <c r="G15" s="7" t="n">
        <f aca="false">SUM(G8:G14)</f>
        <v>601</v>
      </c>
      <c r="H15" s="7" t="n">
        <f aca="false">SUM(H8:H14)</f>
        <v>1392</v>
      </c>
      <c r="I15" s="7" t="n">
        <f aca="false">SUM(I8:I14)</f>
        <v>2400</v>
      </c>
      <c r="J15" s="7" t="n">
        <f aca="false">SUM(J8:J14)</f>
        <v>3145</v>
      </c>
      <c r="K15" s="7" t="n">
        <f aca="false">SUM(K8:K14)</f>
        <v>2400</v>
      </c>
      <c r="N15" s="7" t="n">
        <f aca="false">SUM(N8:N14)</f>
        <v>3456</v>
      </c>
      <c r="U15" s="8" t="n">
        <f aca="false">K15/N15</f>
        <v>0.694444444444444</v>
      </c>
    </row>
    <row r="16" customFormat="false" ht="15" hidden="false" customHeight="false" outlineLevel="0" collapsed="false">
      <c r="A16" s="11" t="s">
        <v>108</v>
      </c>
    </row>
    <row r="18" customFormat="false" ht="15" hidden="false" customHeight="false" outlineLevel="0" collapsed="false">
      <c r="A18" s="9" t="s">
        <v>109</v>
      </c>
    </row>
    <row r="19" customFormat="false" ht="39.55" hidden="false" customHeight="false" outlineLevel="0" collapsed="false">
      <c r="A19" s="3" t="s">
        <v>77</v>
      </c>
      <c r="B19" s="3" t="s">
        <v>110</v>
      </c>
      <c r="C19" s="3" t="s">
        <v>89</v>
      </c>
      <c r="D19" s="3" t="s">
        <v>111</v>
      </c>
      <c r="E19" s="3" t="s">
        <v>112</v>
      </c>
      <c r="F19" s="3" t="s">
        <v>113</v>
      </c>
      <c r="G19" s="3" t="s">
        <v>114</v>
      </c>
    </row>
    <row r="20" customFormat="false" ht="15" hidden="false" customHeight="false" outlineLevel="0" collapsed="false">
      <c r="A20" s="4" t="s">
        <v>115</v>
      </c>
      <c r="B20" s="4" t="s">
        <v>116</v>
      </c>
      <c r="C20" s="13" t="n">
        <v>2048</v>
      </c>
      <c r="D20" s="13" t="n">
        <v>2048</v>
      </c>
      <c r="E20" s="4" t="n">
        <f aca="false">N8+N10+N13+N14</f>
        <v>1920</v>
      </c>
      <c r="F20" s="4" t="n">
        <f aca="false">D20-E20</f>
        <v>128</v>
      </c>
      <c r="G20" s="18" t="n">
        <f aca="false">E20/D20</f>
        <v>0.9375</v>
      </c>
    </row>
    <row r="21" customFormat="false" ht="15" hidden="false" customHeight="false" outlineLevel="0" collapsed="false">
      <c r="A21" s="4" t="s">
        <v>99</v>
      </c>
      <c r="B21" s="4" t="s">
        <v>117</v>
      </c>
      <c r="C21" s="13" t="n">
        <v>4096</v>
      </c>
      <c r="D21" s="13" t="n">
        <v>1024</v>
      </c>
      <c r="E21" s="4" t="n">
        <f aca="false">N9</f>
        <v>512</v>
      </c>
      <c r="F21" s="4" t="n">
        <f aca="false">D21-E21</f>
        <v>512</v>
      </c>
      <c r="G21" s="18" t="n">
        <f aca="false">E21/D21</f>
        <v>0.5</v>
      </c>
    </row>
    <row r="22" customFormat="false" ht="15" hidden="false" customHeight="false" outlineLevel="0" collapsed="false">
      <c r="A22" s="4" t="s">
        <v>102</v>
      </c>
      <c r="B22" s="4" t="s">
        <v>118</v>
      </c>
      <c r="C22" s="13" t="n">
        <v>5120</v>
      </c>
      <c r="D22" s="13" t="n">
        <v>1024</v>
      </c>
      <c r="E22" s="4" t="n">
        <f aca="false">N11</f>
        <v>512</v>
      </c>
      <c r="F22" s="4" t="n">
        <f aca="false">D22-E22</f>
        <v>512</v>
      </c>
      <c r="G22" s="18" t="n">
        <f aca="false">E22/D22</f>
        <v>0.5</v>
      </c>
    </row>
    <row r="23" customFormat="false" ht="15" hidden="false" customHeight="false" outlineLevel="0" collapsed="false">
      <c r="A23" s="4" t="s">
        <v>104</v>
      </c>
      <c r="B23" s="4" t="s">
        <v>119</v>
      </c>
      <c r="C23" s="13" t="n">
        <v>6144</v>
      </c>
      <c r="D23" s="13" t="n">
        <v>1024</v>
      </c>
      <c r="E23" s="4" t="n">
        <f aca="false">N12</f>
        <v>512</v>
      </c>
      <c r="F23" s="4" t="n">
        <f aca="false">D23-E23</f>
        <v>512</v>
      </c>
      <c r="G23" s="18" t="n">
        <f aca="false">E23/D23</f>
        <v>0.5</v>
      </c>
    </row>
    <row r="24" customFormat="false" ht="15" hidden="false" customHeight="false" outlineLevel="0" collapsed="false">
      <c r="A24" s="4" t="s">
        <v>120</v>
      </c>
      <c r="B24" s="4" t="s">
        <v>121</v>
      </c>
      <c r="C24" s="13" t="n">
        <v>7168</v>
      </c>
      <c r="D24" s="13" t="n">
        <v>1024</v>
      </c>
      <c r="E24" s="13" t="n">
        <v>0</v>
      </c>
      <c r="F24" s="4" t="n">
        <f aca="false">D24-E24</f>
        <v>1024</v>
      </c>
      <c r="G24" s="18" t="n">
        <f aca="false">E24/D24</f>
        <v>0</v>
      </c>
    </row>
    <row r="25" customFormat="false" ht="15" hidden="false" customHeight="false" outlineLevel="0" collapsed="false">
      <c r="A25" s="7" t="s">
        <v>122</v>
      </c>
      <c r="D25" s="7" t="n">
        <f aca="false">SUM(D20:D24)</f>
        <v>6144</v>
      </c>
      <c r="E25" s="7" t="n">
        <f aca="false">SUM(E20:E24)</f>
        <v>3456</v>
      </c>
      <c r="F25" s="7" t="n">
        <f aca="false">SUM(F20:F24)</f>
        <v>2688</v>
      </c>
      <c r="G25" s="8" t="n">
        <f aca="false">E25/D25</f>
        <v>0.5625</v>
      </c>
    </row>
    <row r="27" customFormat="false" ht="15" hidden="false" customHeight="false" outlineLevel="0" collapsed="false">
      <c r="A27" s="9" t="s">
        <v>123</v>
      </c>
    </row>
    <row r="28" customFormat="false" ht="15" hidden="false" customHeight="false" outlineLevel="0" collapsed="false">
      <c r="A28" s="3" t="s">
        <v>32</v>
      </c>
      <c r="B28" s="3" t="s">
        <v>124</v>
      </c>
    </row>
    <row r="29" customFormat="false" ht="15" hidden="false" customHeight="false" outlineLevel="0" collapsed="false">
      <c r="A29" s="4" t="s">
        <v>125</v>
      </c>
      <c r="B29" s="4" t="n">
        <f aca="false">'CIDR Resumen'!B12</f>
        <v>2048</v>
      </c>
    </row>
    <row r="30" customFormat="false" ht="15" hidden="false" customHeight="false" outlineLevel="0" collapsed="false">
      <c r="A30" s="4" t="s">
        <v>126</v>
      </c>
      <c r="B30" s="4" t="n">
        <f aca="false">D25</f>
        <v>6144</v>
      </c>
    </row>
    <row r="31" customFormat="false" ht="15" hidden="false" customHeight="false" outlineLevel="0" collapsed="false">
      <c r="A31" s="4" t="s">
        <v>127</v>
      </c>
      <c r="B31" s="4" t="n">
        <f aca="false">B29+B30</f>
        <v>8192</v>
      </c>
    </row>
    <row r="32" customFormat="false" ht="15" hidden="false" customHeight="false" outlineLevel="0" collapsed="false">
      <c r="A32" s="4" t="s">
        <v>128</v>
      </c>
      <c r="B32" s="4" t="str">
        <f aca="false">"/"&amp;(16+(16-CEILING(LOG(B31,2),1)))</f>
        <v>/19</v>
      </c>
    </row>
    <row r="33" customFormat="false" ht="15" hidden="false" customHeight="false" outlineLevel="0" collapsed="false">
      <c r="A33" s="4" t="s">
        <v>129</v>
      </c>
      <c r="B33" s="4" t="str">
        <f aca="false">"172.30.0.0"&amp;B32</f>
        <v>172.30.0.0/19</v>
      </c>
    </row>
    <row r="34" customFormat="false" ht="15" hidden="false" customHeight="false" outlineLevel="0" collapsed="false">
      <c r="A34" s="4" t="s">
        <v>130</v>
      </c>
      <c r="B34" s="4" t="n">
        <f aca="false">2^CEILING(LOG(B31,2),1)</f>
        <v>8192</v>
      </c>
    </row>
    <row r="35" customFormat="false" ht="15" hidden="false" customHeight="false" outlineLevel="0" collapsed="false">
      <c r="A35" s="4" t="s">
        <v>131</v>
      </c>
      <c r="B35" s="4" t="str">
        <f aca="false">"0.0."&amp;(B34/256-1)&amp;".255"</f>
        <v>0.0.31.255</v>
      </c>
    </row>
    <row r="36" customFormat="false" ht="15" hidden="false" customHeight="false" outlineLevel="0" collapsed="false">
      <c r="A36" s="4" t="s">
        <v>132</v>
      </c>
      <c r="B36" s="5" t="n">
        <f aca="false">B34/2^16</f>
        <v>0.125</v>
      </c>
    </row>
    <row r="38" customFormat="false" ht="15" hidden="false" customHeight="false" outlineLevel="0" collapsed="false">
      <c r="A38" s="11" t="s">
        <v>133</v>
      </c>
    </row>
    <row r="40" customFormat="false" ht="15" hidden="false" customHeight="false" outlineLevel="0" collapsed="false">
      <c r="A40" s="9" t="s">
        <v>134</v>
      </c>
    </row>
    <row r="41" customFormat="false" ht="15" hidden="false" customHeight="false" outlineLevel="0" collapsed="false">
      <c r="A41" s="3" t="s">
        <v>135</v>
      </c>
      <c r="B41" s="3" t="s">
        <v>87</v>
      </c>
      <c r="C41" s="3" t="s">
        <v>23</v>
      </c>
      <c r="D41" s="3" t="s">
        <v>136</v>
      </c>
      <c r="E41" s="3" t="s">
        <v>137</v>
      </c>
    </row>
    <row r="42" customFormat="false" ht="15" hidden="false" customHeight="false" outlineLevel="0" collapsed="false">
      <c r="A42" s="4" t="s">
        <v>138</v>
      </c>
      <c r="B42" s="13" t="s">
        <v>139</v>
      </c>
      <c r="C42" s="4" t="n">
        <f aca="false">2^(32-VALUE(MID(B42,2,2)))</f>
        <v>4</v>
      </c>
      <c r="D42" s="4" t="s">
        <v>140</v>
      </c>
      <c r="E42" s="4" t="s">
        <v>141</v>
      </c>
    </row>
    <row r="43" customFormat="false" ht="15" hidden="false" customHeight="false" outlineLevel="0" collapsed="false">
      <c r="A43" s="4" t="s">
        <v>142</v>
      </c>
      <c r="B43" s="13" t="s">
        <v>139</v>
      </c>
      <c r="C43" s="4" t="n">
        <f aca="false">2^(32-VALUE(MID(B43,2,2)))</f>
        <v>4</v>
      </c>
      <c r="D43" s="4" t="s">
        <v>143</v>
      </c>
      <c r="E43" s="4" t="s">
        <v>144</v>
      </c>
    </row>
    <row r="44" customFormat="false" ht="15" hidden="false" customHeight="false" outlineLevel="0" collapsed="false">
      <c r="A44" s="4" t="s">
        <v>145</v>
      </c>
      <c r="B44" s="13" t="s">
        <v>146</v>
      </c>
      <c r="C44" s="4" t="n">
        <f aca="false">2^(32-VALUE(MID(B44,2,2)))</f>
        <v>8</v>
      </c>
      <c r="D44" s="4" t="s">
        <v>147</v>
      </c>
      <c r="E44" s="4" t="s">
        <v>148</v>
      </c>
    </row>
    <row r="45" customFormat="false" ht="15" hidden="false" customHeight="false" outlineLevel="0" collapsed="false">
      <c r="A45" s="4" t="s">
        <v>149</v>
      </c>
      <c r="B45" s="13" t="s">
        <v>150</v>
      </c>
      <c r="C45" s="4" t="n">
        <f aca="false">2^(32-VALUE(MID(B45,2,2)))</f>
        <v>16</v>
      </c>
      <c r="D45" s="4" t="s">
        <v>151</v>
      </c>
      <c r="E45" s="4" t="s">
        <v>144</v>
      </c>
    </row>
    <row r="46" customFormat="false" ht="15" hidden="false" customHeight="false" outlineLevel="0" collapsed="false">
      <c r="A46" s="4" t="s">
        <v>152</v>
      </c>
      <c r="B46" s="13" t="s">
        <v>153</v>
      </c>
      <c r="C46" s="4" t="n">
        <f aca="false">2^(32-VALUE(MID(B46,2,2)))</f>
        <v>32</v>
      </c>
      <c r="D46" s="4" t="s">
        <v>154</v>
      </c>
      <c r="E46" s="4" t="s">
        <v>144</v>
      </c>
    </row>
    <row r="47" customFormat="false" ht="15" hidden="false" customHeight="false" outlineLevel="0" collapsed="false">
      <c r="A47" s="4" t="s">
        <v>155</v>
      </c>
      <c r="B47" s="13" t="s">
        <v>156</v>
      </c>
      <c r="C47" s="4" t="n">
        <f aca="false">2^(32-VALUE(MID(B47,2,2)))</f>
        <v>64</v>
      </c>
      <c r="D47" s="4" t="s">
        <v>157</v>
      </c>
      <c r="E47" s="4" t="s">
        <v>144</v>
      </c>
    </row>
    <row r="48" customFormat="false" ht="15" hidden="false" customHeight="false" outlineLevel="0" collapsed="false">
      <c r="A48" s="4" t="s">
        <v>158</v>
      </c>
      <c r="B48" s="13" t="s">
        <v>159</v>
      </c>
      <c r="C48" s="4" t="n">
        <f aca="false">2^(32-VALUE(MID(B48,2,2)))</f>
        <v>128</v>
      </c>
      <c r="D48" s="4" t="s">
        <v>157</v>
      </c>
      <c r="E48" s="4" t="s">
        <v>144</v>
      </c>
    </row>
    <row r="49" customFormat="false" ht="15" hidden="false" customHeight="false" outlineLevel="0" collapsed="false">
      <c r="A49" s="7" t="s">
        <v>107</v>
      </c>
      <c r="C49" s="7" t="n">
        <f aca="false">SUM(C42:C48)</f>
        <v>256</v>
      </c>
      <c r="D49" s="11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11" min="6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16.1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39.55" hidden="false" customHeight="false" outlineLevel="0" collapsed="false">
      <c r="A4" s="3" t="s">
        <v>163</v>
      </c>
      <c r="B4" s="3" t="s">
        <v>164</v>
      </c>
      <c r="C4" s="3" t="s">
        <v>165</v>
      </c>
      <c r="D4" s="3" t="s">
        <v>166</v>
      </c>
      <c r="E4" s="3" t="s">
        <v>4</v>
      </c>
      <c r="F4" s="3" t="s">
        <v>167</v>
      </c>
      <c r="G4" s="3" t="s">
        <v>168</v>
      </c>
      <c r="H4" s="3" t="s">
        <v>169</v>
      </c>
      <c r="I4" s="3" t="s">
        <v>170</v>
      </c>
      <c r="J4" s="3" t="s">
        <v>171</v>
      </c>
      <c r="K4" s="3" t="s">
        <v>172</v>
      </c>
      <c r="L4" s="3" t="s">
        <v>173</v>
      </c>
      <c r="M4" s="3" t="s">
        <v>174</v>
      </c>
      <c r="N4" s="3" t="s">
        <v>175</v>
      </c>
      <c r="O4" s="3" t="s">
        <v>176</v>
      </c>
      <c r="P4" s="3" t="s">
        <v>177</v>
      </c>
    </row>
    <row r="5" customFormat="false" ht="15" hidden="false" customHeight="false" outlineLevel="0" collapsed="false">
      <c r="A5" s="4" t="s">
        <v>178</v>
      </c>
      <c r="B5" s="4" t="s">
        <v>179</v>
      </c>
      <c r="C5" s="13" t="n">
        <v>0</v>
      </c>
      <c r="D5" s="17" t="n">
        <f aca="false">'VLSM Departamental'!H6</f>
        <v>254</v>
      </c>
      <c r="E5" s="17" t="n">
        <f aca="false">'VLSM Departamental'!D6</f>
        <v>210</v>
      </c>
      <c r="F5" s="13" t="n">
        <v>11</v>
      </c>
      <c r="G5" s="13" t="n">
        <v>170</v>
      </c>
      <c r="H5" s="4" t="n">
        <f aca="false">F5+G5-1</f>
        <v>180</v>
      </c>
      <c r="I5" s="13" t="n">
        <v>181</v>
      </c>
      <c r="J5" s="13" t="n">
        <v>70</v>
      </c>
      <c r="K5" s="4" t="n">
        <f aca="false">I5+J5-1</f>
        <v>250</v>
      </c>
      <c r="L5" s="4" t="n">
        <f aca="false">G5+J5</f>
        <v>240</v>
      </c>
      <c r="M5" s="4" t="str">
        <f aca="false">IF(L5&gt;=E5,"Sí","No")</f>
        <v>Sí</v>
      </c>
      <c r="N5" s="4" t="str">
        <f aca="false">IF(I5&gt;H5,"Sí","No")</f>
        <v>Sí</v>
      </c>
      <c r="O5" s="4" t="str">
        <f aca="false">IF(AND(F5&gt;C5,K5&lt;=C5+D5),"Sí","No")</f>
        <v>Sí</v>
      </c>
      <c r="P5" s="4" t="n">
        <f aca="false">F5-C5-1</f>
        <v>10</v>
      </c>
    </row>
    <row r="6" customFormat="false" ht="15" hidden="false" customHeight="false" outlineLevel="0" collapsed="false">
      <c r="A6" s="4" t="s">
        <v>180</v>
      </c>
      <c r="B6" s="4" t="s">
        <v>181</v>
      </c>
      <c r="C6" s="13" t="n">
        <v>0</v>
      </c>
      <c r="D6" s="17" t="n">
        <f aca="false">'VLSM Departamental'!H8</f>
        <v>126</v>
      </c>
      <c r="E6" s="17" t="n">
        <f aca="false">'VLSM Departamental'!D8</f>
        <v>120</v>
      </c>
      <c r="F6" s="13" t="n">
        <v>4</v>
      </c>
      <c r="G6" s="13" t="n">
        <v>86</v>
      </c>
      <c r="H6" s="4" t="n">
        <f aca="false">F6+G6-1</f>
        <v>89</v>
      </c>
      <c r="I6" s="13" t="n">
        <v>90</v>
      </c>
      <c r="J6" s="13" t="n">
        <v>37</v>
      </c>
      <c r="K6" s="4" t="n">
        <f aca="false">I6+J6-1</f>
        <v>126</v>
      </c>
      <c r="L6" s="4" t="n">
        <f aca="false">G6+J6</f>
        <v>123</v>
      </c>
      <c r="M6" s="4" t="str">
        <f aca="false">IF(L6&gt;=E6,"Sí","No")</f>
        <v>Sí</v>
      </c>
      <c r="N6" s="4" t="str">
        <f aca="false">IF(I6&gt;H6,"Sí","No")</f>
        <v>Sí</v>
      </c>
      <c r="O6" s="4" t="str">
        <f aca="false">IF(AND(F6&gt;C6,K6&lt;=C6+D6),"Sí","No")</f>
        <v>Sí</v>
      </c>
      <c r="P6" s="4" t="n">
        <f aca="false">F6-C6-1</f>
        <v>3</v>
      </c>
    </row>
    <row r="7" customFormat="false" ht="15" hidden="false" customHeight="false" outlineLevel="0" collapsed="false">
      <c r="A7" s="4" t="s">
        <v>182</v>
      </c>
      <c r="B7" s="4" t="s">
        <v>183</v>
      </c>
      <c r="C7" s="13" t="n">
        <v>128</v>
      </c>
      <c r="D7" s="17" t="n">
        <f aca="false">'VLSM Departamental'!H11</f>
        <v>126</v>
      </c>
      <c r="E7" s="17" t="n">
        <f aca="false">'VLSM Departamental'!D11</f>
        <v>65</v>
      </c>
      <c r="F7" s="13" t="n">
        <v>139</v>
      </c>
      <c r="G7" s="13" t="n">
        <v>77</v>
      </c>
      <c r="H7" s="4" t="n">
        <f aca="false">F7+G7-1</f>
        <v>215</v>
      </c>
      <c r="I7" s="13" t="n">
        <v>216</v>
      </c>
      <c r="J7" s="13" t="n">
        <v>33</v>
      </c>
      <c r="K7" s="4" t="n">
        <f aca="false">I7+J7-1</f>
        <v>248</v>
      </c>
      <c r="L7" s="4" t="n">
        <f aca="false">G7+J7</f>
        <v>110</v>
      </c>
      <c r="M7" s="4" t="str">
        <f aca="false">IF(L7&gt;=E7,"Sí","No")</f>
        <v>Sí</v>
      </c>
      <c r="N7" s="4" t="str">
        <f aca="false">IF(I7&gt;H7,"Sí","No")</f>
        <v>Sí</v>
      </c>
      <c r="O7" s="4" t="str">
        <f aca="false">IF(AND(F7&gt;C7,K7&lt;=C7+D7),"Sí","No")</f>
        <v>Sí</v>
      </c>
      <c r="P7" s="4" t="n">
        <f aca="false">F7-C7-1</f>
        <v>10</v>
      </c>
    </row>
    <row r="8" customFormat="false" ht="15" hidden="false" customHeight="false" outlineLevel="0" collapsed="false">
      <c r="A8" s="4" t="s">
        <v>184</v>
      </c>
      <c r="B8" s="4" t="s">
        <v>185</v>
      </c>
      <c r="C8" s="13" t="n">
        <v>0</v>
      </c>
      <c r="D8" s="17" t="n">
        <f aca="false">'VLSM Departamental'!H7</f>
        <v>254</v>
      </c>
      <c r="E8" s="17" t="n">
        <f aca="false">'VLSM Departamental'!D7</f>
        <v>140</v>
      </c>
      <c r="F8" s="13" t="n">
        <v>11</v>
      </c>
      <c r="G8" s="13" t="n">
        <v>170</v>
      </c>
      <c r="H8" s="4" t="n">
        <f aca="false">F8+G8-1</f>
        <v>180</v>
      </c>
      <c r="I8" s="13" t="n">
        <v>181</v>
      </c>
      <c r="J8" s="13" t="n">
        <v>70</v>
      </c>
      <c r="K8" s="4" t="n">
        <f aca="false">I8+J8-1</f>
        <v>250</v>
      </c>
      <c r="L8" s="4" t="n">
        <f aca="false">G8+J8</f>
        <v>240</v>
      </c>
      <c r="M8" s="4" t="str">
        <f aca="false">IF(L8&gt;=E8,"Sí","No")</f>
        <v>Sí</v>
      </c>
      <c r="N8" s="4" t="str">
        <f aca="false">IF(I8&gt;H8,"Sí","No")</f>
        <v>Sí</v>
      </c>
      <c r="O8" s="4" t="str">
        <f aca="false">IF(AND(F8&gt;C8,K8&lt;=C8+D8),"Sí","No")</f>
        <v>Sí</v>
      </c>
      <c r="P8" s="4" t="n">
        <f aca="false">F8-C8-1</f>
        <v>10</v>
      </c>
    </row>
    <row r="9" customFormat="false" ht="15" hidden="false" customHeight="false" outlineLevel="0" collapsed="false">
      <c r="A9" s="4" t="s">
        <v>186</v>
      </c>
      <c r="B9" s="4" t="s">
        <v>181</v>
      </c>
      <c r="C9" s="13" t="n">
        <v>128</v>
      </c>
      <c r="D9" s="17" t="n">
        <f aca="false">'VLSM Departamental'!H9</f>
        <v>126</v>
      </c>
      <c r="E9" s="17" t="n">
        <f aca="false">'VLSM Departamental'!D9</f>
        <v>95</v>
      </c>
      <c r="F9" s="13" t="n">
        <v>139</v>
      </c>
      <c r="G9" s="13" t="n">
        <v>77</v>
      </c>
      <c r="H9" s="4" t="n">
        <f aca="false">F9+G9-1</f>
        <v>215</v>
      </c>
      <c r="I9" s="13" t="n">
        <v>216</v>
      </c>
      <c r="J9" s="13" t="n">
        <v>33</v>
      </c>
      <c r="K9" s="4" t="n">
        <f aca="false">I9+J9-1</f>
        <v>248</v>
      </c>
      <c r="L9" s="4" t="n">
        <f aca="false">G9+J9</f>
        <v>110</v>
      </c>
      <c r="M9" s="4" t="str">
        <f aca="false">IF(L9&gt;=E9,"Sí","No")</f>
        <v>Sí</v>
      </c>
      <c r="N9" s="4" t="str">
        <f aca="false">IF(I9&gt;H9,"Sí","No")</f>
        <v>Sí</v>
      </c>
      <c r="O9" s="4" t="str">
        <f aca="false">IF(AND(F9&gt;C9,K9&lt;=C9+D9),"Sí","No")</f>
        <v>Sí</v>
      </c>
      <c r="P9" s="4" t="n">
        <f aca="false">F9-C9-1</f>
        <v>10</v>
      </c>
    </row>
    <row r="10" customFormat="false" ht="15" hidden="false" customHeight="false" outlineLevel="0" collapsed="false">
      <c r="A10" s="4" t="s">
        <v>187</v>
      </c>
      <c r="B10" s="4" t="s">
        <v>183</v>
      </c>
      <c r="C10" s="13" t="n">
        <v>0</v>
      </c>
      <c r="D10" s="17" t="n">
        <f aca="false">'VLSM Departamental'!H10</f>
        <v>126</v>
      </c>
      <c r="E10" s="17" t="n">
        <f aca="false">'VLSM Departamental'!D10</f>
        <v>80</v>
      </c>
      <c r="F10" s="13" t="n">
        <v>11</v>
      </c>
      <c r="G10" s="13" t="n">
        <v>77</v>
      </c>
      <c r="H10" s="4" t="n">
        <f aca="false">F10+G10-1</f>
        <v>87</v>
      </c>
      <c r="I10" s="13" t="n">
        <v>88</v>
      </c>
      <c r="J10" s="13" t="n">
        <v>33</v>
      </c>
      <c r="K10" s="4" t="n">
        <f aca="false">I10+J10-1</f>
        <v>120</v>
      </c>
      <c r="L10" s="4" t="n">
        <f aca="false">G10+J10</f>
        <v>110</v>
      </c>
      <c r="M10" s="4" t="str">
        <f aca="false">IF(L10&gt;=E10,"Sí","No")</f>
        <v>Sí</v>
      </c>
      <c r="N10" s="4" t="str">
        <f aca="false">IF(I10&gt;H10,"Sí","No")</f>
        <v>Sí</v>
      </c>
      <c r="O10" s="4" t="str">
        <f aca="false">IF(AND(F10&gt;C10,K10&lt;=C10+D10),"Sí","No")</f>
        <v>Sí</v>
      </c>
      <c r="P10" s="4" t="n">
        <f aca="false">F10-C10-1</f>
        <v>10</v>
      </c>
    </row>
    <row r="11" customFormat="false" ht="15" hidden="false" customHeight="false" outlineLevel="0" collapsed="false">
      <c r="A11" s="4" t="s">
        <v>188</v>
      </c>
      <c r="B11" s="4" t="s">
        <v>189</v>
      </c>
      <c r="C11" s="13" t="n">
        <v>0</v>
      </c>
      <c r="D11" s="17" t="n">
        <f aca="false">'VLSM Complementario'!H7</f>
        <v>126</v>
      </c>
      <c r="E11" s="17" t="n">
        <f aca="false">'VLSM Complementario'!D7</f>
        <v>100</v>
      </c>
      <c r="F11" s="13" t="n">
        <v>11</v>
      </c>
      <c r="G11" s="13" t="n">
        <v>75</v>
      </c>
      <c r="H11" s="4" t="n">
        <f aca="false">F11+G11-1</f>
        <v>85</v>
      </c>
      <c r="I11" s="13" t="n">
        <v>86</v>
      </c>
      <c r="J11" s="13" t="n">
        <v>35</v>
      </c>
      <c r="K11" s="4" t="n">
        <f aca="false">I11+J11-1</f>
        <v>120</v>
      </c>
      <c r="L11" s="4" t="n">
        <f aca="false">G11+J11</f>
        <v>110</v>
      </c>
      <c r="M11" s="4" t="str">
        <f aca="false">IF(L11&gt;=E11,"Sí","No")</f>
        <v>Sí</v>
      </c>
      <c r="N11" s="4" t="str">
        <f aca="false">IF(I11&gt;H11,"Sí","No")</f>
        <v>Sí</v>
      </c>
      <c r="O11" s="4" t="str">
        <f aca="false">IF(AND(F11&gt;C11,K11&lt;=C11+D11),"Sí","No")</f>
        <v>Sí</v>
      </c>
      <c r="P11" s="4" t="n">
        <f aca="false">F11-C11-1</f>
        <v>10</v>
      </c>
    </row>
    <row r="12" customFormat="false" ht="15" hidden="false" customHeight="false" outlineLevel="0" collapsed="false">
      <c r="A12" s="4" t="s">
        <v>190</v>
      </c>
      <c r="B12" s="4" t="s">
        <v>191</v>
      </c>
      <c r="C12" s="13" t="n">
        <v>0</v>
      </c>
      <c r="D12" s="17" t="n">
        <f aca="false">'VLSM Complementario'!H6</f>
        <v>254</v>
      </c>
      <c r="E12" s="17" t="n">
        <f aca="false">'VLSM Complementario'!D6</f>
        <v>200</v>
      </c>
      <c r="F12" s="13" t="n">
        <v>11</v>
      </c>
      <c r="G12" s="13" t="n">
        <v>170</v>
      </c>
      <c r="H12" s="4" t="n">
        <f aca="false">F12+G12-1</f>
        <v>180</v>
      </c>
      <c r="I12" s="13" t="n">
        <v>181</v>
      </c>
      <c r="J12" s="13" t="n">
        <v>70</v>
      </c>
      <c r="K12" s="4" t="n">
        <f aca="false">I12+J12-1</f>
        <v>250</v>
      </c>
      <c r="L12" s="4" t="n">
        <f aca="false">G12+J12</f>
        <v>240</v>
      </c>
      <c r="M12" s="4" t="str">
        <f aca="false">IF(L12&gt;=E12,"Sí","No")</f>
        <v>Sí</v>
      </c>
      <c r="N12" s="4" t="str">
        <f aca="false">IF(I12&gt;H12,"Sí","No")</f>
        <v>Sí</v>
      </c>
      <c r="O12" s="4" t="str">
        <f aca="false">IF(AND(F12&gt;C12,K12&lt;=C12+D12),"Sí","No")</f>
        <v>Sí</v>
      </c>
      <c r="P12" s="4" t="n">
        <f aca="false">F12-C12-1</f>
        <v>10</v>
      </c>
    </row>
    <row r="13" customFormat="false" ht="15" hidden="false" customHeight="false" outlineLevel="0" collapsed="false">
      <c r="A13" s="7" t="s">
        <v>107</v>
      </c>
      <c r="E13" s="7" t="n">
        <f aca="false">SUM(E5:E12)</f>
        <v>1010</v>
      </c>
      <c r="L13" s="7" t="n">
        <f aca="false">SUM(L5:L12)</f>
        <v>1283</v>
      </c>
      <c r="M13" s="7" t="str">
        <f aca="false">IF(COUNTIF(M5:M12,"Sí")=8,"8/8 cumplen","Revisar")</f>
        <v>8/8 cumplen</v>
      </c>
      <c r="N13" s="7" t="str">
        <f aca="false">IF(COUNTIF(N5:N12,"Sí")=8,"8/8","Revisar")</f>
        <v>8/8</v>
      </c>
      <c r="O13" s="7" t="str">
        <f aca="false">IF(COUNTIF(O5:O12,"Sí")=8,"8/8","Revisar")</f>
        <v>8/8</v>
      </c>
    </row>
    <row r="15" customFormat="false" ht="15" hidden="false" customHeight="false" outlineLevel="0" collapsed="false">
      <c r="A15" s="11" t="s">
        <v>192</v>
      </c>
    </row>
    <row r="16" customFormat="false" ht="15" hidden="false" customHeight="false" outlineLevel="0" collapsed="false">
      <c r="A16" s="11" t="s">
        <v>193</v>
      </c>
    </row>
    <row r="17" customFormat="false" ht="15" hidden="false" customHeight="false" outlineLevel="0" collapsed="false">
      <c r="A17" s="11" t="s">
        <v>194</v>
      </c>
    </row>
    <row r="18" customFormat="false" ht="15" hidden="false" customHeight="false" outlineLevel="0" collapsed="false">
      <c r="A18" s="11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4"/>
    <col collapsed="false" customWidth="true" hidden="false" outlineLevel="0" max="2" min="2" style="19" width="38"/>
    <col collapsed="false" customWidth="true" hidden="false" outlineLevel="0" max="3" min="3" style="19" width="7"/>
    <col collapsed="false" customWidth="true" hidden="false" outlineLevel="0" max="4" min="4" style="19" width="10"/>
    <col collapsed="false" customWidth="true" hidden="false" outlineLevel="0" max="5" min="5" style="19" width="9"/>
    <col collapsed="false" customWidth="true" hidden="false" outlineLevel="0" max="6" min="6" style="19" width="8"/>
    <col collapsed="false" customWidth="true" hidden="false" outlineLevel="0" max="9" min="7" style="19" width="10"/>
    <col collapsed="false" customWidth="true" hidden="false" outlineLevel="0" max="10" min="10" style="19" width="12"/>
    <col collapsed="false" customWidth="true" hidden="false" outlineLevel="0" max="14" min="11" style="19" width="15"/>
    <col collapsed="false" customWidth="true" hidden="false" outlineLevel="0" max="15" min="15" style="19" width="17"/>
    <col collapsed="false" customWidth="true" hidden="false" outlineLevel="0" max="16" min="16" style="19" width="15"/>
  </cols>
  <sheetData>
    <row r="1" customFormat="false" ht="15.75" hidden="false" customHeight="true" outlineLevel="0" collapsed="false">
      <c r="A1" s="20" t="s">
        <v>196</v>
      </c>
    </row>
    <row r="2" customFormat="false" ht="15" hidden="false" customHeight="true" outlineLevel="0" collapsed="false">
      <c r="A2" s="21" t="s">
        <v>197</v>
      </c>
    </row>
    <row r="3" customFormat="false" ht="15" hidden="false" customHeight="true" outlineLevel="0" collapsed="false">
      <c r="A3" s="22" t="s">
        <v>198</v>
      </c>
      <c r="H3" s="23" t="n">
        <v>0</v>
      </c>
    </row>
    <row r="5" customFormat="false" ht="51.75" hidden="false" customHeight="true" outlineLevel="0" collapsed="false">
      <c r="A5" s="24" t="s">
        <v>75</v>
      </c>
      <c r="B5" s="24" t="s">
        <v>199</v>
      </c>
      <c r="C5" s="24" t="s">
        <v>200</v>
      </c>
      <c r="D5" s="24" t="s">
        <v>4</v>
      </c>
      <c r="E5" s="24" t="s">
        <v>86</v>
      </c>
      <c r="F5" s="24" t="s">
        <v>201</v>
      </c>
      <c r="G5" s="24" t="s">
        <v>202</v>
      </c>
      <c r="H5" s="24" t="s">
        <v>40</v>
      </c>
      <c r="I5" s="24" t="s">
        <v>203</v>
      </c>
      <c r="J5" s="24" t="s">
        <v>89</v>
      </c>
      <c r="K5" s="24" t="s">
        <v>90</v>
      </c>
      <c r="L5" s="24" t="s">
        <v>204</v>
      </c>
      <c r="M5" s="24" t="s">
        <v>205</v>
      </c>
      <c r="N5" s="24" t="s">
        <v>92</v>
      </c>
      <c r="O5" s="24" t="s">
        <v>206</v>
      </c>
      <c r="P5" s="24" t="s">
        <v>207</v>
      </c>
    </row>
    <row r="6" customFormat="false" ht="15" hidden="false" customHeight="true" outlineLevel="0" collapsed="false">
      <c r="A6" s="25" t="n">
        <v>1</v>
      </c>
      <c r="B6" s="25" t="s">
        <v>208</v>
      </c>
      <c r="C6" s="25" t="n">
        <v>10</v>
      </c>
      <c r="D6" s="26" t="n">
        <v>210</v>
      </c>
      <c r="E6" s="25" t="n">
        <f aca="false">CEILING(LOG(D6+2,2),1)</f>
        <v>8</v>
      </c>
      <c r="F6" s="25" t="str">
        <f aca="false">"/"&amp;(32-E6)</f>
        <v>/24</v>
      </c>
      <c r="G6" s="25" t="n">
        <f aca="false">2^E6</f>
        <v>256</v>
      </c>
      <c r="H6" s="25" t="n">
        <f aca="false">G6-2</f>
        <v>254</v>
      </c>
      <c r="I6" s="25" t="n">
        <f aca="false">H6-D6</f>
        <v>44</v>
      </c>
      <c r="J6" s="26" t="n">
        <v>1792</v>
      </c>
      <c r="K6" s="25" t="str">
        <f aca="false">"172.30."&amp;INT(J6/256)&amp;"."&amp;MOD(J6,256)</f>
        <v>172.30.7.0</v>
      </c>
      <c r="L6" s="25" t="str">
        <f aca="false">"172.30."&amp;INT((J6+1)/256)&amp;"."&amp;MOD((J6+1),256)</f>
        <v>172.30.7.1</v>
      </c>
      <c r="M6" s="25" t="str">
        <f aca="false">"172.30."&amp;INT((J6+G6-2)/256)&amp;"."&amp;MOD((J6+G6-2),256)</f>
        <v>172.30.7.254</v>
      </c>
      <c r="N6" s="25" t="str">
        <f aca="false">"172.30."&amp;INT((J6+G6-1)/256)&amp;"."&amp;MOD((J6+G6-1),256)</f>
        <v>172.30.7.255</v>
      </c>
      <c r="O6" s="25" t="str">
        <f aca="false">IF(E6&lt;=8,"255.255.255."&amp;(256-G6),"255.255."&amp;(256-G6/256)&amp;".0")</f>
        <v>255.255.255.0</v>
      </c>
      <c r="P6" s="25" t="str">
        <f aca="false">L6</f>
        <v>172.30.7.1</v>
      </c>
    </row>
    <row r="7" customFormat="false" ht="15" hidden="false" customHeight="true" outlineLevel="0" collapsed="false">
      <c r="A7" s="25" t="n">
        <v>2</v>
      </c>
      <c r="B7" s="25" t="s">
        <v>209</v>
      </c>
      <c r="C7" s="25" t="s">
        <v>210</v>
      </c>
      <c r="D7" s="26" t="n">
        <v>140</v>
      </c>
      <c r="E7" s="25" t="n">
        <f aca="false">CEILING(LOG(D7+2,2),1)</f>
        <v>8</v>
      </c>
      <c r="F7" s="25" t="str">
        <f aca="false">"/"&amp;(32-E7)</f>
        <v>/24</v>
      </c>
      <c r="G7" s="25" t="n">
        <f aca="false">2^E7</f>
        <v>256</v>
      </c>
      <c r="H7" s="25" t="n">
        <f aca="false">G7-2</f>
        <v>254</v>
      </c>
      <c r="I7" s="25" t="n">
        <f aca="false">H7-D7</f>
        <v>114</v>
      </c>
      <c r="J7" s="26" t="n">
        <v>256</v>
      </c>
      <c r="K7" s="25" t="str">
        <f aca="false">"172.30."&amp;INT(J7/256)&amp;"."&amp;MOD(J7,256)</f>
        <v>172.30.1.0</v>
      </c>
      <c r="L7" s="25" t="str">
        <f aca="false">"172.30."&amp;INT((J7+1)/256)&amp;"."&amp;MOD((J7+1),256)</f>
        <v>172.30.1.1</v>
      </c>
      <c r="M7" s="25" t="str">
        <f aca="false">"172.30."&amp;INT((J7+G7-2)/256)&amp;"."&amp;MOD((J7+G7-2),256)</f>
        <v>172.30.1.254</v>
      </c>
      <c r="N7" s="25" t="str">
        <f aca="false">"172.30."&amp;INT((J7+G7-1)/256)&amp;"."&amp;MOD((J7+G7-1),256)</f>
        <v>172.30.1.255</v>
      </c>
      <c r="O7" s="25" t="str">
        <f aca="false">IF(E7&lt;=8,"255.255.255."&amp;(256-G7),"255.255."&amp;(256-G7/256)&amp;".0")</f>
        <v>255.255.255.0</v>
      </c>
      <c r="P7" s="25" t="str">
        <f aca="false">L7</f>
        <v>172.30.1.1</v>
      </c>
    </row>
    <row r="8" customFormat="false" ht="15" hidden="false" customHeight="true" outlineLevel="0" collapsed="false">
      <c r="A8" s="25" t="n">
        <v>3</v>
      </c>
      <c r="B8" s="25" t="s">
        <v>211</v>
      </c>
      <c r="C8" s="25" t="n">
        <v>20</v>
      </c>
      <c r="D8" s="26" t="n">
        <v>120</v>
      </c>
      <c r="E8" s="25" t="n">
        <f aca="false">CEILING(LOG(D8+2,2),1)</f>
        <v>7</v>
      </c>
      <c r="F8" s="25" t="str">
        <f aca="false">"/"&amp;(32-E8)</f>
        <v>/25</v>
      </c>
      <c r="G8" s="25" t="n">
        <f aca="false">2^E8</f>
        <v>128</v>
      </c>
      <c r="H8" s="25" t="n">
        <f aca="false">G8-2</f>
        <v>126</v>
      </c>
      <c r="I8" s="25" t="n">
        <f aca="false">H8-D8</f>
        <v>6</v>
      </c>
      <c r="J8" s="25" t="n">
        <f aca="false">J7+G7</f>
        <v>512</v>
      </c>
      <c r="K8" s="25" t="str">
        <f aca="false">"172.30."&amp;INT(J8/256)&amp;"."&amp;MOD(J8,256)</f>
        <v>172.30.2.0</v>
      </c>
      <c r="L8" s="25" t="str">
        <f aca="false">"172.30."&amp;INT((J8+1)/256)&amp;"."&amp;MOD((J8+1),256)</f>
        <v>172.30.2.1</v>
      </c>
      <c r="M8" s="25" t="str">
        <f aca="false">"172.30."&amp;INT((J8+G8-2)/256)&amp;"."&amp;MOD((J8+G8-2),256)</f>
        <v>172.30.2.126</v>
      </c>
      <c r="N8" s="25" t="str">
        <f aca="false">"172.30."&amp;INT((J8+G8-1)/256)&amp;"."&amp;MOD((J8+G8-1),256)</f>
        <v>172.30.2.127</v>
      </c>
      <c r="O8" s="25" t="str">
        <f aca="false">IF(E8&lt;=8,"255.255.255."&amp;(256-G8),"255.255."&amp;(256-G8/256)&amp;".0")</f>
        <v>255.255.255.128</v>
      </c>
      <c r="P8" s="25" t="str">
        <f aca="false">L8</f>
        <v>172.30.2.1</v>
      </c>
    </row>
    <row r="9" customFormat="false" ht="15" hidden="false" customHeight="true" outlineLevel="0" collapsed="false">
      <c r="A9" s="25" t="n">
        <v>4</v>
      </c>
      <c r="B9" s="25" t="s">
        <v>212</v>
      </c>
      <c r="C9" s="25" t="s">
        <v>210</v>
      </c>
      <c r="D9" s="26" t="n">
        <v>95</v>
      </c>
      <c r="E9" s="25" t="n">
        <f aca="false">CEILING(LOG(D9+2,2),1)</f>
        <v>7</v>
      </c>
      <c r="F9" s="25" t="str">
        <f aca="false">"/"&amp;(32-E9)</f>
        <v>/25</v>
      </c>
      <c r="G9" s="25" t="n">
        <f aca="false">2^E9</f>
        <v>128</v>
      </c>
      <c r="H9" s="25" t="n">
        <f aca="false">G9-2</f>
        <v>126</v>
      </c>
      <c r="I9" s="25" t="n">
        <f aca="false">H9-D9</f>
        <v>31</v>
      </c>
      <c r="J9" s="25" t="n">
        <f aca="false">J8+G8</f>
        <v>640</v>
      </c>
      <c r="K9" s="25" t="str">
        <f aca="false">"172.30."&amp;INT(J9/256)&amp;"."&amp;MOD(J9,256)</f>
        <v>172.30.2.128</v>
      </c>
      <c r="L9" s="25" t="str">
        <f aca="false">"172.30."&amp;INT((J9+1)/256)&amp;"."&amp;MOD((J9+1),256)</f>
        <v>172.30.2.129</v>
      </c>
      <c r="M9" s="25" t="str">
        <f aca="false">"172.30."&amp;INT((J9+G9-2)/256)&amp;"."&amp;MOD((J9+G9-2),256)</f>
        <v>172.30.2.254</v>
      </c>
      <c r="N9" s="25" t="str">
        <f aca="false">"172.30."&amp;INT((J9+G9-1)/256)&amp;"."&amp;MOD((J9+G9-1),256)</f>
        <v>172.30.2.255</v>
      </c>
      <c r="O9" s="25" t="str">
        <f aca="false">IF(E9&lt;=8,"255.255.255."&amp;(256-G9),"255.255."&amp;(256-G9/256)&amp;".0")</f>
        <v>255.255.255.128</v>
      </c>
      <c r="P9" s="25" t="str">
        <f aca="false">L9</f>
        <v>172.30.2.129</v>
      </c>
    </row>
    <row r="10" customFormat="false" ht="15" hidden="false" customHeight="true" outlineLevel="0" collapsed="false">
      <c r="A10" s="25" t="n">
        <v>5</v>
      </c>
      <c r="B10" s="25" t="s">
        <v>213</v>
      </c>
      <c r="C10" s="25" t="s">
        <v>210</v>
      </c>
      <c r="D10" s="26" t="n">
        <v>80</v>
      </c>
      <c r="E10" s="25" t="n">
        <f aca="false">CEILING(LOG(D10+2,2),1)</f>
        <v>7</v>
      </c>
      <c r="F10" s="25" t="str">
        <f aca="false">"/"&amp;(32-E10)</f>
        <v>/25</v>
      </c>
      <c r="G10" s="25" t="n">
        <f aca="false">2^E10</f>
        <v>128</v>
      </c>
      <c r="H10" s="25" t="n">
        <f aca="false">G10-2</f>
        <v>126</v>
      </c>
      <c r="I10" s="25" t="n">
        <f aca="false">H10-D10</f>
        <v>46</v>
      </c>
      <c r="J10" s="25" t="n">
        <f aca="false">J9+G9</f>
        <v>768</v>
      </c>
      <c r="K10" s="25" t="str">
        <f aca="false">"172.30."&amp;INT(J10/256)&amp;"."&amp;MOD(J10,256)</f>
        <v>172.30.3.0</v>
      </c>
      <c r="L10" s="25" t="str">
        <f aca="false">"172.30."&amp;INT((J10+1)/256)&amp;"."&amp;MOD((J10+1),256)</f>
        <v>172.30.3.1</v>
      </c>
      <c r="M10" s="25" t="str">
        <f aca="false">"172.30."&amp;INT((J10+G10-2)/256)&amp;"."&amp;MOD((J10+G10-2),256)</f>
        <v>172.30.3.126</v>
      </c>
      <c r="N10" s="25" t="str">
        <f aca="false">"172.30."&amp;INT((J10+G10-1)/256)&amp;"."&amp;MOD((J10+G10-1),256)</f>
        <v>172.30.3.127</v>
      </c>
      <c r="O10" s="25" t="str">
        <f aca="false">IF(E10&lt;=8,"255.255.255."&amp;(256-G10),"255.255."&amp;(256-G10/256)&amp;".0")</f>
        <v>255.255.255.128</v>
      </c>
      <c r="P10" s="25" t="str">
        <f aca="false">L10</f>
        <v>172.30.3.1</v>
      </c>
    </row>
    <row r="11" customFormat="false" ht="15" hidden="false" customHeight="true" outlineLevel="0" collapsed="false">
      <c r="A11" s="25" t="n">
        <v>6</v>
      </c>
      <c r="B11" s="25" t="s">
        <v>214</v>
      </c>
      <c r="C11" s="25" t="n">
        <v>30</v>
      </c>
      <c r="D11" s="26" t="n">
        <v>65</v>
      </c>
      <c r="E11" s="25" t="n">
        <f aca="false">CEILING(LOG(D11+2,2),1)</f>
        <v>7</v>
      </c>
      <c r="F11" s="25" t="str">
        <f aca="false">"/"&amp;(32-E11)</f>
        <v>/25</v>
      </c>
      <c r="G11" s="25" t="n">
        <f aca="false">2^E11</f>
        <v>128</v>
      </c>
      <c r="H11" s="25" t="n">
        <f aca="false">G11-2</f>
        <v>126</v>
      </c>
      <c r="I11" s="25" t="n">
        <f aca="false">H11-D11</f>
        <v>61</v>
      </c>
      <c r="J11" s="25" t="n">
        <f aca="false">J10+G10</f>
        <v>896</v>
      </c>
      <c r="K11" s="25" t="str">
        <f aca="false">"172.30."&amp;INT(J11/256)&amp;"."&amp;MOD(J11,256)</f>
        <v>172.30.3.128</v>
      </c>
      <c r="L11" s="25" t="str">
        <f aca="false">"172.30."&amp;INT((J11+1)/256)&amp;"."&amp;MOD((J11+1),256)</f>
        <v>172.30.3.129</v>
      </c>
      <c r="M11" s="25" t="str">
        <f aca="false">"172.30."&amp;INT((J11+G11-2)/256)&amp;"."&amp;MOD((J11+G11-2),256)</f>
        <v>172.30.3.254</v>
      </c>
      <c r="N11" s="25" t="str">
        <f aca="false">"172.30."&amp;INT((J11+G11-1)/256)&amp;"."&amp;MOD((J11+G11-1),256)</f>
        <v>172.30.3.255</v>
      </c>
      <c r="O11" s="25" t="str">
        <f aca="false">IF(E11&lt;=8,"255.255.255."&amp;(256-G11),"255.255."&amp;(256-G11/256)&amp;".0")</f>
        <v>255.255.255.128</v>
      </c>
      <c r="P11" s="25" t="str">
        <f aca="false">L11</f>
        <v>172.30.3.129</v>
      </c>
    </row>
    <row r="12" customFormat="false" ht="15" hidden="false" customHeight="true" outlineLevel="0" collapsed="false">
      <c r="A12" s="25" t="n">
        <v>7</v>
      </c>
      <c r="B12" s="25" t="s">
        <v>215</v>
      </c>
      <c r="C12" s="25" t="n">
        <v>40</v>
      </c>
      <c r="D12" s="26" t="n">
        <v>35</v>
      </c>
      <c r="E12" s="25" t="n">
        <f aca="false">CEILING(LOG(D12+2,2),1)</f>
        <v>6</v>
      </c>
      <c r="F12" s="25" t="str">
        <f aca="false">"/"&amp;(32-E12)</f>
        <v>/26</v>
      </c>
      <c r="G12" s="25" t="n">
        <f aca="false">2^E12</f>
        <v>64</v>
      </c>
      <c r="H12" s="25" t="n">
        <f aca="false">G12-2</f>
        <v>62</v>
      </c>
      <c r="I12" s="25" t="n">
        <f aca="false">H12-D12</f>
        <v>27</v>
      </c>
      <c r="J12" s="25" t="n">
        <f aca="false">J11+G11</f>
        <v>1024</v>
      </c>
      <c r="K12" s="25" t="str">
        <f aca="false">"172.30."&amp;INT(J12/256)&amp;"."&amp;MOD(J12,256)</f>
        <v>172.30.4.0</v>
      </c>
      <c r="L12" s="25" t="str">
        <f aca="false">"172.30."&amp;INT((J12+1)/256)&amp;"."&amp;MOD((J12+1),256)</f>
        <v>172.30.4.1</v>
      </c>
      <c r="M12" s="25" t="str">
        <f aca="false">"172.30."&amp;INT((J12+G12-2)/256)&amp;"."&amp;MOD((J12+G12-2),256)</f>
        <v>172.30.4.62</v>
      </c>
      <c r="N12" s="25" t="str">
        <f aca="false">"172.30."&amp;INT((J12+G12-1)/256)&amp;"."&amp;MOD((J12+G12-1),256)</f>
        <v>172.30.4.63</v>
      </c>
      <c r="O12" s="25" t="str">
        <f aca="false">IF(E12&lt;=8,"255.255.255."&amp;(256-G12),"255.255."&amp;(256-G12/256)&amp;".0")</f>
        <v>255.255.255.192</v>
      </c>
      <c r="P12" s="25" t="str">
        <f aca="false">L12</f>
        <v>172.30.4.1</v>
      </c>
    </row>
    <row r="14" customFormat="false" ht="15" hidden="false" customHeight="true" outlineLevel="0" collapsed="false">
      <c r="B14" s="27" t="s">
        <v>216</v>
      </c>
      <c r="D14" s="19" t="n">
        <f aca="false">SUM(D6:D12)</f>
        <v>745</v>
      </c>
    </row>
    <row r="15" customFormat="false" ht="15" hidden="false" customHeight="true" outlineLevel="0" collapsed="false">
      <c r="B15" s="27" t="s">
        <v>217</v>
      </c>
      <c r="D15" s="19" t="n">
        <f aca="false">SUM(G6:G12)</f>
        <v>1088</v>
      </c>
    </row>
    <row r="16" customFormat="false" ht="15" hidden="false" customHeight="true" outlineLevel="0" collapsed="false">
      <c r="B16" s="27" t="s">
        <v>218</v>
      </c>
      <c r="D16" s="28" t="n">
        <f aca="false">D14/D15</f>
        <v>0.684742647058824</v>
      </c>
    </row>
    <row r="17" customFormat="false" ht="15" hidden="false" customHeight="true" outlineLevel="0" collapsed="false">
      <c r="B17" s="27" t="s">
        <v>28</v>
      </c>
      <c r="D17" s="19" t="str">
        <f aca="false">"172.30."&amp;INT((J12+G12)/256)&amp;"."&amp;MOD((J12+G12),256)&amp;" (y 172.30.0.0/24 reservada)"</f>
        <v>172.30.4.64 (y 172.30.0.0/24 reservada)</v>
      </c>
    </row>
    <row r="18" customFormat="false" ht="15" hidden="false" customHeight="false" outlineLevel="0" collapsed="false">
      <c r="B18" s="9" t="s">
        <v>219</v>
      </c>
      <c r="D18" s="19" t="s">
        <v>220</v>
      </c>
    </row>
    <row r="19" customFormat="false" ht="15" hidden="false" customHeight="true" outlineLevel="0" collapsed="false">
      <c r="B19" s="29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4"/>
    <col collapsed="false" customWidth="true" hidden="false" outlineLevel="0" max="2" min="2" style="19" width="38"/>
    <col collapsed="false" customWidth="true" hidden="false" outlineLevel="0" max="3" min="3" style="19" width="7"/>
    <col collapsed="false" customWidth="true" hidden="false" outlineLevel="0" max="4" min="4" style="19" width="10"/>
    <col collapsed="false" customWidth="true" hidden="false" outlineLevel="0" max="5" min="5" style="19" width="9"/>
    <col collapsed="false" customWidth="true" hidden="false" outlineLevel="0" max="6" min="6" style="19" width="8"/>
    <col collapsed="false" customWidth="true" hidden="false" outlineLevel="0" max="9" min="7" style="19" width="10"/>
    <col collapsed="false" customWidth="true" hidden="false" outlineLevel="0" max="10" min="10" style="19" width="12"/>
    <col collapsed="false" customWidth="true" hidden="false" outlineLevel="0" max="14" min="11" style="19" width="15"/>
    <col collapsed="false" customWidth="true" hidden="false" outlineLevel="0" max="15" min="15" style="19" width="17"/>
    <col collapsed="false" customWidth="true" hidden="false" outlineLevel="0" max="16" min="16" style="19" width="15"/>
  </cols>
  <sheetData>
    <row r="1" customFormat="false" ht="15.75" hidden="false" customHeight="true" outlineLevel="0" collapsed="false">
      <c r="A1" s="20" t="s">
        <v>222</v>
      </c>
    </row>
    <row r="2" customFormat="false" ht="15" hidden="false" customHeight="true" outlineLevel="0" collapsed="false">
      <c r="A2" s="21" t="s">
        <v>223</v>
      </c>
    </row>
    <row r="3" customFormat="false" ht="15" hidden="false" customHeight="true" outlineLevel="0" collapsed="false">
      <c r="A3" s="22" t="s">
        <v>198</v>
      </c>
      <c r="H3" s="23" t="n">
        <v>1280</v>
      </c>
    </row>
    <row r="5" customFormat="false" ht="51.75" hidden="false" customHeight="true" outlineLevel="0" collapsed="false">
      <c r="A5" s="24" t="s">
        <v>75</v>
      </c>
      <c r="B5" s="24" t="s">
        <v>199</v>
      </c>
      <c r="C5" s="24" t="s">
        <v>200</v>
      </c>
      <c r="D5" s="24" t="s">
        <v>4</v>
      </c>
      <c r="E5" s="24" t="s">
        <v>86</v>
      </c>
      <c r="F5" s="24" t="s">
        <v>201</v>
      </c>
      <c r="G5" s="24" t="s">
        <v>202</v>
      </c>
      <c r="H5" s="24" t="s">
        <v>40</v>
      </c>
      <c r="I5" s="24" t="s">
        <v>203</v>
      </c>
      <c r="J5" s="24" t="s">
        <v>89</v>
      </c>
      <c r="K5" s="24" t="s">
        <v>90</v>
      </c>
      <c r="L5" s="24" t="s">
        <v>204</v>
      </c>
      <c r="M5" s="24" t="s">
        <v>205</v>
      </c>
      <c r="N5" s="24" t="s">
        <v>92</v>
      </c>
      <c r="O5" s="24" t="s">
        <v>206</v>
      </c>
      <c r="P5" s="24" t="s">
        <v>207</v>
      </c>
    </row>
    <row r="6" customFormat="false" ht="15" hidden="false" customHeight="true" outlineLevel="0" collapsed="false">
      <c r="A6" s="25" t="n">
        <v>1</v>
      </c>
      <c r="B6" s="25" t="s">
        <v>224</v>
      </c>
      <c r="C6" s="25" t="n">
        <v>60</v>
      </c>
      <c r="D6" s="26" t="n">
        <v>200</v>
      </c>
      <c r="E6" s="25" t="n">
        <f aca="false">CEILING(LOG(D6+2,2),1)</f>
        <v>8</v>
      </c>
      <c r="F6" s="25" t="str">
        <f aca="false">"/"&amp;(32-E6)</f>
        <v>/24</v>
      </c>
      <c r="G6" s="25" t="n">
        <f aca="false">2^E6</f>
        <v>256</v>
      </c>
      <c r="H6" s="25" t="n">
        <f aca="false">G6-2</f>
        <v>254</v>
      </c>
      <c r="I6" s="25" t="n">
        <f aca="false">H6-D6</f>
        <v>54</v>
      </c>
      <c r="J6" s="25" t="n">
        <f aca="false">$H$3</f>
        <v>1280</v>
      </c>
      <c r="K6" s="25" t="str">
        <f aca="false">"172.30."&amp;INT(J6/256)&amp;"."&amp;MOD(J6,256)</f>
        <v>172.30.5.0</v>
      </c>
      <c r="L6" s="25" t="str">
        <f aca="false">"172.30."&amp;INT((J6+1)/256)&amp;"."&amp;MOD((J6+1),256)</f>
        <v>172.30.5.1</v>
      </c>
      <c r="M6" s="25" t="str">
        <f aca="false">"172.30."&amp;INT((J6+G6-2)/256)&amp;"."&amp;MOD((J6+G6-2),256)</f>
        <v>172.30.5.254</v>
      </c>
      <c r="N6" s="25" t="str">
        <f aca="false">"172.30."&amp;INT((J6+G6-1)/256)&amp;"."&amp;MOD((J6+G6-1),256)</f>
        <v>172.30.5.255</v>
      </c>
      <c r="O6" s="25" t="str">
        <f aca="false">IF(E6&lt;=8,"255.255.255."&amp;(256-G6),"255.255."&amp;(256-G6/256)&amp;".0")</f>
        <v>255.255.255.0</v>
      </c>
      <c r="P6" s="25" t="str">
        <f aca="false">L6</f>
        <v>172.30.5.1</v>
      </c>
    </row>
    <row r="7" customFormat="false" ht="15" hidden="false" customHeight="true" outlineLevel="0" collapsed="false">
      <c r="A7" s="25" t="n">
        <v>2</v>
      </c>
      <c r="B7" s="25" t="s">
        <v>225</v>
      </c>
      <c r="C7" s="25" t="n">
        <v>50</v>
      </c>
      <c r="D7" s="26" t="n">
        <v>100</v>
      </c>
      <c r="E7" s="25" t="n">
        <f aca="false">CEILING(LOG(D7+2,2),1)</f>
        <v>7</v>
      </c>
      <c r="F7" s="25" t="str">
        <f aca="false">"/"&amp;(32-E7)</f>
        <v>/25</v>
      </c>
      <c r="G7" s="25" t="n">
        <f aca="false">2^E7</f>
        <v>128</v>
      </c>
      <c r="H7" s="25" t="n">
        <f aca="false">G7-2</f>
        <v>126</v>
      </c>
      <c r="I7" s="25" t="n">
        <f aca="false">H7-D7</f>
        <v>26</v>
      </c>
      <c r="J7" s="25" t="n">
        <f aca="false">J6+G6</f>
        <v>1536</v>
      </c>
      <c r="K7" s="25" t="str">
        <f aca="false">"172.30."&amp;INT(J7/256)&amp;"."&amp;MOD(J7,256)</f>
        <v>172.30.6.0</v>
      </c>
      <c r="L7" s="25" t="str">
        <f aca="false">"172.30."&amp;INT((J7+1)/256)&amp;"."&amp;MOD((J7+1),256)</f>
        <v>172.30.6.1</v>
      </c>
      <c r="M7" s="25" t="str">
        <f aca="false">"172.30."&amp;INT((J7+G7-2)/256)&amp;"."&amp;MOD((J7+G7-2),256)</f>
        <v>172.30.6.126</v>
      </c>
      <c r="N7" s="25" t="str">
        <f aca="false">"172.30."&amp;INT((J7+G7-1)/256)&amp;"."&amp;MOD((J7+G7-1),256)</f>
        <v>172.30.6.127</v>
      </c>
      <c r="O7" s="25" t="str">
        <f aca="false">IF(E7&lt;=8,"255.255.255."&amp;(256-G7),"255.255."&amp;(256-G7/256)&amp;".0")</f>
        <v>255.255.255.128</v>
      </c>
      <c r="P7" s="25" t="str">
        <f aca="false">L7</f>
        <v>172.30.6.1</v>
      </c>
    </row>
    <row r="8" customFormat="false" ht="15" hidden="false" customHeight="true" outlineLevel="0" collapsed="false">
      <c r="A8" s="25" t="n">
        <v>3</v>
      </c>
      <c r="B8" s="25" t="s">
        <v>226</v>
      </c>
      <c r="C8" s="25" t="n">
        <v>99</v>
      </c>
      <c r="D8" s="26" t="n">
        <v>20</v>
      </c>
      <c r="E8" s="25" t="n">
        <f aca="false">CEILING(LOG(D8+2,2),1)</f>
        <v>5</v>
      </c>
      <c r="F8" s="25" t="str">
        <f aca="false">"/"&amp;(32-E8)</f>
        <v>/27</v>
      </c>
      <c r="G8" s="25" t="n">
        <f aca="false">2^E8</f>
        <v>32</v>
      </c>
      <c r="H8" s="25" t="n">
        <f aca="false">G8-2</f>
        <v>30</v>
      </c>
      <c r="I8" s="25" t="n">
        <f aca="false">H8-D8</f>
        <v>10</v>
      </c>
      <c r="J8" s="25" t="n">
        <f aca="false">J7+G7</f>
        <v>1664</v>
      </c>
      <c r="K8" s="25" t="str">
        <f aca="false">"172.30."&amp;INT(J8/256)&amp;"."&amp;MOD(J8,256)</f>
        <v>172.30.6.128</v>
      </c>
      <c r="L8" s="25" t="str">
        <f aca="false">"172.30."&amp;INT((J8+1)/256)&amp;"."&amp;MOD((J8+1),256)</f>
        <v>172.30.6.129</v>
      </c>
      <c r="M8" s="25" t="str">
        <f aca="false">"172.30."&amp;INT((J8+G8-2)/256)&amp;"."&amp;MOD((J8+G8-2),256)</f>
        <v>172.30.6.158</v>
      </c>
      <c r="N8" s="25" t="str">
        <f aca="false">"172.30."&amp;INT((J8+G8-1)/256)&amp;"."&amp;MOD((J8+G8-1),256)</f>
        <v>172.30.6.159</v>
      </c>
      <c r="O8" s="25" t="str">
        <f aca="false">IF(E8&lt;=8,"255.255.255."&amp;(256-G8),"255.255."&amp;(256-G8/256)&amp;".0")</f>
        <v>255.255.255.224</v>
      </c>
      <c r="P8" s="25" t="str">
        <f aca="false">L8</f>
        <v>172.30.6.129</v>
      </c>
    </row>
    <row r="10" customFormat="false" ht="15" hidden="false" customHeight="true" outlineLevel="0" collapsed="false">
      <c r="B10" s="27" t="s">
        <v>216</v>
      </c>
      <c r="D10" s="19" t="n">
        <f aca="false">SUM(D6:D8)</f>
        <v>320</v>
      </c>
    </row>
    <row r="11" customFormat="false" ht="15" hidden="false" customHeight="true" outlineLevel="0" collapsed="false">
      <c r="B11" s="27" t="s">
        <v>217</v>
      </c>
      <c r="D11" s="19" t="n">
        <f aca="false">SUM(G6:G8)</f>
        <v>416</v>
      </c>
    </row>
    <row r="12" customFormat="false" ht="15" hidden="false" customHeight="true" outlineLevel="0" collapsed="false">
      <c r="B12" s="27" t="s">
        <v>218</v>
      </c>
      <c r="D12" s="30" t="n">
        <f aca="false">D10/D11</f>
        <v>0.769230769230769</v>
      </c>
    </row>
    <row r="13" customFormat="false" ht="15" hidden="false" customHeight="true" outlineLevel="0" collapsed="false">
      <c r="B13" s="27" t="s">
        <v>28</v>
      </c>
      <c r="D13" s="19" t="str">
        <f aca="false">"172.30."&amp;INT((J8+G8)/256)&amp;"."&amp;MOD((J8+G8),256)</f>
        <v>172.30.6.160</v>
      </c>
    </row>
    <row r="15" customFormat="false" ht="15" hidden="false" customHeight="true" outlineLevel="0" collapsed="false">
      <c r="B15" s="29" t="s">
        <v>221</v>
      </c>
    </row>
    <row r="16" customFormat="false" ht="15" hidden="false" customHeight="false" outlineLevel="0" collapsed="false">
      <c r="B16" s="11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4"/>
    <col collapsed="false" customWidth="true" hidden="false" outlineLevel="0" max="2" min="2" style="19" width="30"/>
    <col collapsed="false" customWidth="true" hidden="false" outlineLevel="0" max="4" min="3" style="19" width="22"/>
    <col collapsed="false" customWidth="true" hidden="false" outlineLevel="0" max="5" min="5" style="19" width="12"/>
    <col collapsed="false" customWidth="true" hidden="false" outlineLevel="0" max="9" min="6" style="19" width="15"/>
    <col collapsed="false" customWidth="true" hidden="false" outlineLevel="0" max="10" min="10" style="19" width="7"/>
    <col collapsed="false" customWidth="true" hidden="false" outlineLevel="0" max="11" min="11" style="19" width="17"/>
    <col collapsed="false" customWidth="true" hidden="false" outlineLevel="0" max="12" min="12" style="19" width="10"/>
  </cols>
  <sheetData>
    <row r="1" customFormat="false" ht="15.75" hidden="false" customHeight="true" outlineLevel="0" collapsed="false">
      <c r="A1" s="20" t="s">
        <v>228</v>
      </c>
    </row>
    <row r="2" customFormat="false" ht="15" hidden="false" customHeight="true" outlineLevel="0" collapsed="false">
      <c r="A2" s="21" t="s">
        <v>229</v>
      </c>
    </row>
    <row r="3" customFormat="false" ht="15" hidden="false" customHeight="true" outlineLevel="0" collapsed="false">
      <c r="A3" s="19" t="s">
        <v>230</v>
      </c>
      <c r="F3" s="23" t="n">
        <v>1088</v>
      </c>
      <c r="G3" s="19" t="s">
        <v>231</v>
      </c>
      <c r="H3" s="23" t="n">
        <v>30</v>
      </c>
    </row>
    <row r="5" customFormat="false" ht="26.25" hidden="false" customHeight="true" outlineLevel="0" collapsed="false">
      <c r="A5" s="24" t="s">
        <v>75</v>
      </c>
      <c r="B5" s="24" t="s">
        <v>232</v>
      </c>
      <c r="C5" s="24" t="s">
        <v>233</v>
      </c>
      <c r="D5" s="24" t="s">
        <v>234</v>
      </c>
      <c r="E5" s="24" t="s">
        <v>89</v>
      </c>
      <c r="F5" s="24" t="s">
        <v>90</v>
      </c>
      <c r="G5" s="24" t="s">
        <v>235</v>
      </c>
      <c r="H5" s="24" t="s">
        <v>236</v>
      </c>
      <c r="I5" s="24" t="s">
        <v>92</v>
      </c>
      <c r="J5" s="24" t="s">
        <v>237</v>
      </c>
      <c r="K5" s="24" t="s">
        <v>206</v>
      </c>
      <c r="L5" s="24" t="s">
        <v>6</v>
      </c>
    </row>
    <row r="6" customFormat="false" ht="15" hidden="false" customHeight="true" outlineLevel="0" collapsed="false">
      <c r="A6" s="25" t="n">
        <v>1</v>
      </c>
      <c r="B6" s="25" t="s">
        <v>238</v>
      </c>
      <c r="C6" s="25" t="s">
        <v>239</v>
      </c>
      <c r="D6" s="25" t="s">
        <v>240</v>
      </c>
      <c r="E6" s="25" t="n">
        <f aca="false">$F$3</f>
        <v>1088</v>
      </c>
      <c r="F6" s="25" t="str">
        <f aca="false">"172.30."&amp;INT(E6/256)&amp;"."&amp;MOD(E6,256)</f>
        <v>172.30.4.64</v>
      </c>
      <c r="G6" s="25" t="str">
        <f aca="false">"172.30."&amp;INT((E6+1)/256)&amp;"."&amp;MOD((E6+1),256)</f>
        <v>172.30.4.65</v>
      </c>
      <c r="H6" s="25" t="str">
        <f aca="false">"172.30."&amp;INT((E6+2)/256)&amp;"."&amp;MOD((E6+2),256)</f>
        <v>172.30.4.66</v>
      </c>
      <c r="I6" s="25" t="str">
        <f aca="false">"172.30."&amp;INT((E6+2^(32-$H$3)-1)/256)&amp;"."&amp;MOD((E6+2^(32-$H$3)-1),256)</f>
        <v>172.30.4.67</v>
      </c>
      <c r="J6" s="25" t="str">
        <f aca="false">"/"&amp;$H$3</f>
        <v>/30</v>
      </c>
      <c r="K6" s="25" t="str">
        <f aca="false">"255.255.255."&amp;(256-2^(32-$H$3))</f>
        <v>255.255.255.252</v>
      </c>
      <c r="L6" s="25" t="n">
        <f aca="false">2^(32-$H$3)-2</f>
        <v>2</v>
      </c>
    </row>
    <row r="7" customFormat="false" ht="15" hidden="false" customHeight="true" outlineLevel="0" collapsed="false">
      <c r="A7" s="25" t="n">
        <v>2</v>
      </c>
      <c r="B7" s="25" t="s">
        <v>241</v>
      </c>
      <c r="C7" s="25" t="s">
        <v>242</v>
      </c>
      <c r="D7" s="25" t="s">
        <v>243</v>
      </c>
      <c r="E7" s="25" t="n">
        <f aca="false">E6+2^(32-$H$3)</f>
        <v>1092</v>
      </c>
      <c r="F7" s="25" t="str">
        <f aca="false">"172.30."&amp;INT(E7/256)&amp;"."&amp;MOD(E7,256)</f>
        <v>172.30.4.68</v>
      </c>
      <c r="G7" s="25" t="str">
        <f aca="false">"172.30."&amp;INT((E7+1)/256)&amp;"."&amp;MOD((E7+1),256)</f>
        <v>172.30.4.69</v>
      </c>
      <c r="H7" s="25" t="str">
        <f aca="false">"172.30."&amp;INT((E7+2)/256)&amp;"."&amp;MOD((E7+2),256)</f>
        <v>172.30.4.70</v>
      </c>
      <c r="I7" s="25" t="str">
        <f aca="false">"172.30."&amp;INT((E7+2^(32-$H$3)-1)/256)&amp;"."&amp;MOD((E7+2^(32-$H$3)-1),256)</f>
        <v>172.30.4.71</v>
      </c>
      <c r="J7" s="25" t="str">
        <f aca="false">"/"&amp;$H$3</f>
        <v>/30</v>
      </c>
      <c r="K7" s="25" t="str">
        <f aca="false">"255.255.255."&amp;(256-2^(32-$H$3))</f>
        <v>255.255.255.252</v>
      </c>
      <c r="L7" s="25" t="n">
        <f aca="false">2^(32-$H$3)-2</f>
        <v>2</v>
      </c>
    </row>
    <row r="8" customFormat="false" ht="15" hidden="false" customHeight="true" outlineLevel="0" collapsed="false">
      <c r="A8" s="25" t="n">
        <v>3</v>
      </c>
      <c r="B8" s="25" t="s">
        <v>244</v>
      </c>
      <c r="C8" s="25" t="s">
        <v>245</v>
      </c>
      <c r="D8" s="25" t="s">
        <v>246</v>
      </c>
      <c r="E8" s="25" t="n">
        <f aca="false">E7+2^(32-$H$3)</f>
        <v>1096</v>
      </c>
      <c r="F8" s="25" t="str">
        <f aca="false">"172.30."&amp;INT(E8/256)&amp;"."&amp;MOD(E8,256)</f>
        <v>172.30.4.72</v>
      </c>
      <c r="G8" s="25" t="str">
        <f aca="false">"172.30."&amp;INT((E8+1)/256)&amp;"."&amp;MOD((E8+1),256)</f>
        <v>172.30.4.73</v>
      </c>
      <c r="H8" s="25" t="str">
        <f aca="false">"172.30."&amp;INT((E8+2)/256)&amp;"."&amp;MOD((E8+2),256)</f>
        <v>172.30.4.74</v>
      </c>
      <c r="I8" s="25" t="str">
        <f aca="false">"172.30."&amp;INT((E8+2^(32-$H$3)-1)/256)&amp;"."&amp;MOD((E8+2^(32-$H$3)-1),256)</f>
        <v>172.30.4.75</v>
      </c>
      <c r="J8" s="25" t="str">
        <f aca="false">"/"&amp;$H$3</f>
        <v>/30</v>
      </c>
      <c r="K8" s="25" t="str">
        <f aca="false">"255.255.255."&amp;(256-2^(32-$H$3))</f>
        <v>255.255.255.252</v>
      </c>
      <c r="L8" s="25" t="n">
        <f aca="false">2^(32-$H$3)-2</f>
        <v>2</v>
      </c>
    </row>
    <row r="9" customFormat="false" ht="15" hidden="false" customHeight="true" outlineLevel="0" collapsed="false">
      <c r="A9" s="25" t="n">
        <v>4</v>
      </c>
      <c r="B9" s="25" t="s">
        <v>247</v>
      </c>
      <c r="C9" s="25" t="s">
        <v>248</v>
      </c>
      <c r="D9" s="25" t="s">
        <v>249</v>
      </c>
      <c r="E9" s="25" t="n">
        <f aca="false">E8+2^(32-$H$3)</f>
        <v>1100</v>
      </c>
      <c r="F9" s="25" t="str">
        <f aca="false">"172.30."&amp;INT(E9/256)&amp;"."&amp;MOD(E9,256)</f>
        <v>172.30.4.76</v>
      </c>
      <c r="G9" s="25" t="str">
        <f aca="false">"172.30."&amp;INT((E9+1)/256)&amp;"."&amp;MOD((E9+1),256)</f>
        <v>172.30.4.77</v>
      </c>
      <c r="H9" s="25" t="str">
        <f aca="false">"172.30."&amp;INT((E9+2)/256)&amp;"."&amp;MOD((E9+2),256)</f>
        <v>172.30.4.78</v>
      </c>
      <c r="I9" s="25" t="str">
        <f aca="false">"172.30."&amp;INT((E9+2^(32-$H$3)-1)/256)&amp;"."&amp;MOD((E9+2^(32-$H$3)-1),256)</f>
        <v>172.30.4.79</v>
      </c>
      <c r="J9" s="25" t="str">
        <f aca="false">"/"&amp;$H$3</f>
        <v>/30</v>
      </c>
      <c r="K9" s="25" t="str">
        <f aca="false">"255.255.255."&amp;(256-2^(32-$H$3))</f>
        <v>255.255.255.252</v>
      </c>
      <c r="L9" s="25" t="n">
        <f aca="false">2^(32-$H$3)-2</f>
        <v>2</v>
      </c>
    </row>
    <row r="10" customFormat="false" ht="15" hidden="false" customHeight="true" outlineLevel="0" collapsed="false">
      <c r="A10" s="25" t="n">
        <v>5</v>
      </c>
      <c r="B10" s="25" t="s">
        <v>250</v>
      </c>
      <c r="C10" s="25" t="s">
        <v>251</v>
      </c>
      <c r="D10" s="25" t="s">
        <v>252</v>
      </c>
      <c r="E10" s="25" t="n">
        <f aca="false">E9+2^(32-$H$3)</f>
        <v>1104</v>
      </c>
      <c r="F10" s="25" t="str">
        <f aca="false">"172.30."&amp;INT(E10/256)&amp;"."&amp;MOD(E10,256)</f>
        <v>172.30.4.80</v>
      </c>
      <c r="G10" s="25" t="str">
        <f aca="false">"172.30."&amp;INT((E10+1)/256)&amp;"."&amp;MOD((E10+1),256)</f>
        <v>172.30.4.81</v>
      </c>
      <c r="H10" s="25" t="str">
        <f aca="false">"172.30."&amp;INT((E10+2)/256)&amp;"."&amp;MOD((E10+2),256)</f>
        <v>172.30.4.82</v>
      </c>
      <c r="I10" s="25" t="str">
        <f aca="false">"172.30."&amp;INT((E10+2^(32-$H$3)-1)/256)&amp;"."&amp;MOD((E10+2^(32-$H$3)-1),256)</f>
        <v>172.30.4.83</v>
      </c>
      <c r="J10" s="25" t="str">
        <f aca="false">"/"&amp;$H$3</f>
        <v>/30</v>
      </c>
      <c r="K10" s="25" t="str">
        <f aca="false">"255.255.255."&amp;(256-2^(32-$H$3))</f>
        <v>255.255.255.252</v>
      </c>
      <c r="L10" s="25" t="n">
        <f aca="false">2^(32-$H$3)-2</f>
        <v>2</v>
      </c>
    </row>
    <row r="11" customFormat="false" ht="15" hidden="false" customHeight="true" outlineLevel="0" collapsed="false">
      <c r="A11" s="25" t="n">
        <v>6</v>
      </c>
      <c r="B11" s="25" t="s">
        <v>253</v>
      </c>
      <c r="C11" s="25" t="s">
        <v>254</v>
      </c>
      <c r="D11" s="25" t="s">
        <v>255</v>
      </c>
      <c r="E11" s="25" t="n">
        <f aca="false">E10+2^(32-$H$3)</f>
        <v>1108</v>
      </c>
      <c r="F11" s="25" t="str">
        <f aca="false">"172.30."&amp;INT(E11/256)&amp;"."&amp;MOD(E11,256)</f>
        <v>172.30.4.84</v>
      </c>
      <c r="G11" s="25" t="str">
        <f aca="false">"172.30."&amp;INT((E11+1)/256)&amp;"."&amp;MOD((E11+1),256)</f>
        <v>172.30.4.85</v>
      </c>
      <c r="H11" s="25" t="str">
        <f aca="false">"172.30."&amp;INT((E11+2)/256)&amp;"."&amp;MOD((E11+2),256)</f>
        <v>172.30.4.86</v>
      </c>
      <c r="I11" s="25" t="str">
        <f aca="false">"172.30."&amp;INT((E11+2^(32-$H$3)-1)/256)&amp;"."&amp;MOD((E11+2^(32-$H$3)-1),256)</f>
        <v>172.30.4.87</v>
      </c>
      <c r="J11" s="25" t="str">
        <f aca="false">"/"&amp;$H$3</f>
        <v>/30</v>
      </c>
      <c r="K11" s="25" t="str">
        <f aca="false">"255.255.255."&amp;(256-2^(32-$H$3))</f>
        <v>255.255.255.252</v>
      </c>
      <c r="L11" s="25" t="n">
        <f aca="false">2^(32-$H$3)-2</f>
        <v>2</v>
      </c>
    </row>
    <row r="12" customFormat="false" ht="15" hidden="false" customHeight="true" outlineLevel="0" collapsed="false">
      <c r="A12" s="25" t="n">
        <v>7</v>
      </c>
      <c r="B12" s="25" t="s">
        <v>256</v>
      </c>
      <c r="C12" s="25" t="s">
        <v>210</v>
      </c>
      <c r="D12" s="25" t="s">
        <v>210</v>
      </c>
      <c r="E12" s="25" t="n">
        <f aca="false">E11+2^(32-$H$3)</f>
        <v>1112</v>
      </c>
      <c r="F12" s="25" t="str">
        <f aca="false">"172.30."&amp;INT(E12/256)&amp;"."&amp;MOD(E12,256)</f>
        <v>172.30.4.88</v>
      </c>
      <c r="G12" s="25" t="str">
        <f aca="false">"172.30."&amp;INT((E12+1)/256)&amp;"."&amp;MOD((E12+1),256)</f>
        <v>172.30.4.89</v>
      </c>
      <c r="H12" s="25" t="str">
        <f aca="false">"172.30."&amp;INT((E12+2)/256)&amp;"."&amp;MOD((E12+2),256)</f>
        <v>172.30.4.90</v>
      </c>
      <c r="I12" s="25" t="str">
        <f aca="false">"172.30."&amp;INT((E12+2^(32-$H$3)-1)/256)&amp;"."&amp;MOD((E12+2^(32-$H$3)-1),256)</f>
        <v>172.30.4.91</v>
      </c>
      <c r="J12" s="25" t="str">
        <f aca="false">"/"&amp;$H$3</f>
        <v>/30</v>
      </c>
      <c r="K12" s="25" t="str">
        <f aca="false">"255.255.255."&amp;(256-2^(32-$H$3))</f>
        <v>255.255.255.252</v>
      </c>
      <c r="L12" s="25" t="n">
        <f aca="false">2^(32-$H$3)-2</f>
        <v>2</v>
      </c>
    </row>
    <row r="13" customFormat="false" ht="15" hidden="false" customHeight="true" outlineLevel="0" collapsed="false">
      <c r="A13" s="25" t="n">
        <v>8</v>
      </c>
      <c r="B13" s="25" t="s">
        <v>256</v>
      </c>
      <c r="C13" s="25" t="s">
        <v>210</v>
      </c>
      <c r="D13" s="25" t="s">
        <v>210</v>
      </c>
      <c r="E13" s="25" t="n">
        <f aca="false">E12+2^(32-$H$3)</f>
        <v>1116</v>
      </c>
      <c r="F13" s="25" t="str">
        <f aca="false">"172.30."&amp;INT(E13/256)&amp;"."&amp;MOD(E13,256)</f>
        <v>172.30.4.92</v>
      </c>
      <c r="G13" s="25" t="str">
        <f aca="false">"172.30."&amp;INT((E13+1)/256)&amp;"."&amp;MOD((E13+1),256)</f>
        <v>172.30.4.93</v>
      </c>
      <c r="H13" s="25" t="str">
        <f aca="false">"172.30."&amp;INT((E13+2)/256)&amp;"."&amp;MOD((E13+2),256)</f>
        <v>172.30.4.94</v>
      </c>
      <c r="I13" s="25" t="str">
        <f aca="false">"172.30."&amp;INT((E13+2^(32-$H$3)-1)/256)&amp;"."&amp;MOD((E13+2^(32-$H$3)-1),256)</f>
        <v>172.30.4.95</v>
      </c>
      <c r="J13" s="25" t="str">
        <f aca="false">"/"&amp;$H$3</f>
        <v>/30</v>
      </c>
      <c r="K13" s="25" t="str">
        <f aca="false">"255.255.255."&amp;(256-2^(32-$H$3))</f>
        <v>255.255.255.252</v>
      </c>
      <c r="L13" s="25" t="n">
        <f aca="false">2^(32-$H$3)-2</f>
        <v>2</v>
      </c>
    </row>
    <row r="16" customFormat="false" ht="15" hidden="false" customHeight="true" outlineLevel="0" collapsed="false">
      <c r="B16" s="29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6"/>
    <col collapsed="false" customWidth="true" hidden="false" outlineLevel="0" max="2" min="2" style="19" width="28"/>
    <col collapsed="false" customWidth="true" hidden="false" outlineLevel="0" max="3" min="3" style="19" width="26"/>
  </cols>
  <sheetData>
    <row r="1" customFormat="false" ht="15.75" hidden="false" customHeight="true" outlineLevel="0" collapsed="false">
      <c r="A1" s="20" t="s">
        <v>258</v>
      </c>
    </row>
    <row r="2" customFormat="false" ht="15" hidden="false" customHeight="true" outlineLevel="0" collapsed="false">
      <c r="A2" s="21" t="s">
        <v>259</v>
      </c>
    </row>
    <row r="4" customFormat="false" ht="15" hidden="false" customHeight="true" outlineLevel="0" collapsed="false">
      <c r="A4" s="24" t="s">
        <v>32</v>
      </c>
      <c r="B4" s="24" t="s">
        <v>124</v>
      </c>
      <c r="C4" s="24" t="s">
        <v>260</v>
      </c>
    </row>
    <row r="5" customFormat="false" ht="15" hidden="false" customHeight="true" outlineLevel="0" collapsed="false">
      <c r="A5" s="25" t="s">
        <v>261</v>
      </c>
      <c r="B5" s="25" t="s">
        <v>262</v>
      </c>
      <c r="C5" s="25" t="s">
        <v>263</v>
      </c>
    </row>
    <row r="6" customFormat="false" ht="15" hidden="false" customHeight="true" outlineLevel="0" collapsed="false">
      <c r="A6" s="25" t="s">
        <v>264</v>
      </c>
      <c r="B6" s="25" t="s">
        <v>265</v>
      </c>
      <c r="C6" s="25" t="s">
        <v>266</v>
      </c>
    </row>
    <row r="7" customFormat="false" ht="15" hidden="false" customHeight="true" outlineLevel="0" collapsed="false">
      <c r="A7" s="25" t="s">
        <v>267</v>
      </c>
      <c r="B7" s="25" t="s">
        <v>268</v>
      </c>
      <c r="C7" s="25"/>
    </row>
    <row r="8" customFormat="false" ht="15" hidden="false" customHeight="true" outlineLevel="0" collapsed="false">
      <c r="A8" s="25" t="s">
        <v>269</v>
      </c>
      <c r="B8" s="25" t="n">
        <f aca="false">16+5</f>
        <v>21</v>
      </c>
      <c r="C8" s="25"/>
    </row>
    <row r="9" customFormat="false" ht="15" hidden="false" customHeight="true" outlineLevel="0" collapsed="false">
      <c r="A9" s="25" t="s">
        <v>270</v>
      </c>
      <c r="B9" s="25" t="s">
        <v>271</v>
      </c>
      <c r="C9" s="25"/>
    </row>
    <row r="10" customFormat="false" ht="15" hidden="false" customHeight="true" outlineLevel="0" collapsed="false">
      <c r="A10" s="25" t="s">
        <v>272</v>
      </c>
      <c r="B10" s="25" t="s">
        <v>273</v>
      </c>
      <c r="C10" s="25" t="s">
        <v>274</v>
      </c>
    </row>
    <row r="11" customFormat="false" ht="15" hidden="false" customHeight="true" outlineLevel="0" collapsed="false">
      <c r="A11" s="25" t="s">
        <v>275</v>
      </c>
      <c r="B11" s="25" t="s">
        <v>276</v>
      </c>
      <c r="C11" s="25"/>
    </row>
    <row r="12" customFormat="false" ht="15" hidden="false" customHeight="true" outlineLevel="0" collapsed="false">
      <c r="A12" s="25" t="s">
        <v>277</v>
      </c>
      <c r="B12" s="25" t="n">
        <f aca="false">2^(32-B8)</f>
        <v>2048</v>
      </c>
      <c r="C12" s="25"/>
    </row>
    <row r="13" customFormat="false" ht="15" hidden="false" customHeight="true" outlineLevel="0" collapsed="false">
      <c r="A13" s="25" t="s">
        <v>278</v>
      </c>
      <c r="B13" s="25" t="n">
        <f aca="false">'Resumen y Aprovechamiento'!D9</f>
        <v>1536</v>
      </c>
      <c r="C13" s="25"/>
    </row>
    <row r="14" customFormat="false" ht="15" hidden="false" customHeight="true" outlineLevel="0" collapsed="false">
      <c r="A14" s="25" t="s">
        <v>279</v>
      </c>
      <c r="B14" s="25" t="n">
        <f aca="false">B12-B13</f>
        <v>512</v>
      </c>
      <c r="C14" s="25"/>
    </row>
    <row r="15" customFormat="false" ht="15" hidden="false" customHeight="false" outlineLevel="0" collapsed="false">
      <c r="A15" s="9" t="s">
        <v>219</v>
      </c>
      <c r="B15" s="19" t="s">
        <v>220</v>
      </c>
    </row>
    <row r="16" customFormat="false" ht="15" hidden="false" customHeight="false" outlineLevel="0" collapsed="false">
      <c r="A16" s="11" t="s">
        <v>280</v>
      </c>
    </row>
    <row r="17" customFormat="false" ht="15" hidden="false" customHeight="true" outlineLevel="0" collapsed="false">
      <c r="A17" s="31" t="s">
        <v>281</v>
      </c>
    </row>
    <row r="18" customFormat="false" ht="15" hidden="false" customHeight="false" outlineLevel="0" collapsed="false">
      <c r="A18" s="11" t="s">
        <v>282</v>
      </c>
    </row>
    <row r="19" customFormat="false" ht="15" hidden="false" customHeight="false" outlineLevel="0" collapsed="false">
      <c r="A19" s="11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7"/>
    <col collapsed="false" customWidth="true" hidden="false" outlineLevel="0" max="2" min="2" style="19" width="26"/>
    <col collapsed="false" customWidth="true" hidden="false" outlineLevel="0" max="3" min="3" style="19" width="17"/>
    <col collapsed="false" customWidth="true" hidden="false" outlineLevel="0" max="4" min="4" style="19" width="20"/>
    <col collapsed="false" customWidth="true" hidden="false" outlineLevel="0" max="6" min="5" style="19" width="15"/>
    <col collapsed="false" customWidth="true" hidden="false" outlineLevel="0" max="7" min="7" style="19" width="22"/>
    <col collapsed="false" customWidth="true" hidden="false" outlineLevel="0" max="8" min="8" style="19" width="24"/>
  </cols>
  <sheetData>
    <row r="1" customFormat="false" ht="15.75" hidden="false" customHeight="true" outlineLevel="0" collapsed="false">
      <c r="A1" s="20" t="s">
        <v>284</v>
      </c>
    </row>
    <row r="2" customFormat="false" ht="15" hidden="false" customHeight="true" outlineLevel="0" collapsed="false">
      <c r="A2" s="21" t="s">
        <v>285</v>
      </c>
    </row>
    <row r="4" customFormat="false" ht="26.25" hidden="false" customHeight="true" outlineLevel="0" collapsed="false">
      <c r="A4" s="24" t="s">
        <v>200</v>
      </c>
      <c r="B4" s="24" t="s">
        <v>286</v>
      </c>
      <c r="C4" s="24" t="s">
        <v>36</v>
      </c>
      <c r="D4" s="24" t="s">
        <v>287</v>
      </c>
      <c r="E4" s="24" t="s">
        <v>288</v>
      </c>
      <c r="F4" s="24" t="s">
        <v>289</v>
      </c>
      <c r="G4" s="24" t="s">
        <v>290</v>
      </c>
      <c r="H4" s="24" t="s">
        <v>291</v>
      </c>
    </row>
    <row r="5" customFormat="false" ht="15" hidden="false" customHeight="true" outlineLevel="0" collapsed="false">
      <c r="A5" s="25" t="n">
        <v>10</v>
      </c>
      <c r="B5" s="25" t="s">
        <v>292</v>
      </c>
      <c r="C5" s="25" t="s">
        <v>293</v>
      </c>
      <c r="D5" s="25" t="s">
        <v>294</v>
      </c>
      <c r="E5" s="25" t="s">
        <v>295</v>
      </c>
      <c r="F5" s="25" t="s">
        <v>296</v>
      </c>
      <c r="G5" s="25" t="s">
        <v>297</v>
      </c>
      <c r="H5" s="25" t="s">
        <v>298</v>
      </c>
    </row>
    <row r="6" customFormat="false" ht="15" hidden="false" customHeight="true" outlineLevel="0" collapsed="false">
      <c r="A6" s="25" t="n">
        <v>20</v>
      </c>
      <c r="B6" s="25" t="s">
        <v>299</v>
      </c>
      <c r="C6" s="25" t="s">
        <v>300</v>
      </c>
      <c r="D6" s="25" t="s">
        <v>301</v>
      </c>
      <c r="E6" s="25" t="s">
        <v>302</v>
      </c>
      <c r="F6" s="25" t="s">
        <v>303</v>
      </c>
      <c r="G6" s="25" t="s">
        <v>304</v>
      </c>
      <c r="H6" s="25" t="s">
        <v>305</v>
      </c>
    </row>
    <row r="7" customFormat="false" ht="15" hidden="false" customHeight="true" outlineLevel="0" collapsed="false">
      <c r="A7" s="25" t="n">
        <v>30</v>
      </c>
      <c r="B7" s="25" t="s">
        <v>306</v>
      </c>
      <c r="C7" s="25" t="s">
        <v>307</v>
      </c>
      <c r="D7" s="25" t="s">
        <v>308</v>
      </c>
      <c r="E7" s="25" t="s">
        <v>309</v>
      </c>
      <c r="F7" s="25" t="s">
        <v>310</v>
      </c>
      <c r="G7" s="25" t="s">
        <v>311</v>
      </c>
      <c r="H7" s="25" t="s">
        <v>298</v>
      </c>
    </row>
    <row r="8" customFormat="false" ht="15" hidden="false" customHeight="true" outlineLevel="0" collapsed="false">
      <c r="A8" s="25" t="n">
        <v>40</v>
      </c>
      <c r="B8" s="25" t="s">
        <v>312</v>
      </c>
      <c r="C8" s="25" t="s">
        <v>313</v>
      </c>
      <c r="D8" s="25" t="s">
        <v>314</v>
      </c>
      <c r="E8" s="25" t="s">
        <v>315</v>
      </c>
      <c r="F8" s="25" t="s">
        <v>316</v>
      </c>
      <c r="G8" s="25" t="s">
        <v>317</v>
      </c>
      <c r="H8" s="25" t="s">
        <v>305</v>
      </c>
    </row>
    <row r="9" customFormat="false" ht="15" hidden="false" customHeight="true" outlineLevel="0" collapsed="false">
      <c r="A9" s="25" t="n">
        <v>50</v>
      </c>
      <c r="B9" s="25" t="s">
        <v>188</v>
      </c>
      <c r="C9" s="25" t="s">
        <v>37</v>
      </c>
      <c r="D9" s="25" t="s">
        <v>318</v>
      </c>
      <c r="E9" s="25" t="s">
        <v>319</v>
      </c>
      <c r="F9" s="25" t="s">
        <v>320</v>
      </c>
      <c r="G9" s="25" t="s">
        <v>321</v>
      </c>
      <c r="H9" s="25" t="s">
        <v>298</v>
      </c>
    </row>
    <row r="10" customFormat="false" ht="15" hidden="false" customHeight="true" outlineLevel="0" collapsed="false">
      <c r="A10" s="25" t="n">
        <v>60</v>
      </c>
      <c r="B10" s="25" t="s">
        <v>322</v>
      </c>
      <c r="C10" s="25" t="s">
        <v>38</v>
      </c>
      <c r="D10" s="25" t="s">
        <v>323</v>
      </c>
      <c r="E10" s="25" t="s">
        <v>210</v>
      </c>
      <c r="F10" s="25" t="s">
        <v>210</v>
      </c>
      <c r="G10" s="25" t="s">
        <v>324</v>
      </c>
      <c r="H10" s="25" t="s">
        <v>325</v>
      </c>
    </row>
    <row r="11" customFormat="false" ht="15" hidden="false" customHeight="true" outlineLevel="0" collapsed="false">
      <c r="A11" s="25" t="n">
        <v>99</v>
      </c>
      <c r="B11" s="25" t="s">
        <v>326</v>
      </c>
      <c r="C11" s="25" t="s">
        <v>327</v>
      </c>
      <c r="D11" s="25" t="s">
        <v>328</v>
      </c>
      <c r="E11" s="25" t="s">
        <v>329</v>
      </c>
      <c r="F11" s="25" t="s">
        <v>330</v>
      </c>
      <c r="G11" s="25" t="s">
        <v>331</v>
      </c>
      <c r="H11" s="25" t="s">
        <v>298</v>
      </c>
    </row>
    <row r="12" customFormat="false" ht="15" hidden="false" customHeight="true" outlineLevel="0" collapsed="false">
      <c r="A12" s="25" t="n">
        <v>999</v>
      </c>
      <c r="B12" s="25" t="s">
        <v>332</v>
      </c>
      <c r="C12" s="25" t="s">
        <v>210</v>
      </c>
      <c r="D12" s="25" t="s">
        <v>210</v>
      </c>
      <c r="E12" s="25" t="s">
        <v>210</v>
      </c>
      <c r="F12" s="25" t="s">
        <v>210</v>
      </c>
      <c r="G12" s="25" t="s">
        <v>333</v>
      </c>
      <c r="H12" s="25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15"/>
    <col collapsed="false" customWidth="true" hidden="false" outlineLevel="0" max="2" min="2" style="19" width="12"/>
    <col collapsed="false" customWidth="true" hidden="false" outlineLevel="0" max="3" min="3" style="19" width="10"/>
    <col collapsed="false" customWidth="true" hidden="false" outlineLevel="0" max="4" min="4" style="19" width="15"/>
    <col collapsed="false" customWidth="true" hidden="false" outlineLevel="0" max="5" min="5" style="19" width="17"/>
    <col collapsed="false" customWidth="true" hidden="false" outlineLevel="0" max="6" min="6" style="19" width="22"/>
    <col collapsed="false" customWidth="true" hidden="false" outlineLevel="0" max="7" min="7" style="19" width="44"/>
  </cols>
  <sheetData>
    <row r="1" customFormat="false" ht="15.75" hidden="false" customHeight="true" outlineLevel="0" collapsed="false">
      <c r="A1" s="20" t="s">
        <v>334</v>
      </c>
    </row>
    <row r="2" customFormat="false" ht="15" hidden="false" customHeight="true" outlineLevel="0" collapsed="false">
      <c r="A2" s="21" t="s">
        <v>335</v>
      </c>
    </row>
    <row r="4" customFormat="false" ht="26.25" hidden="false" customHeight="true" outlineLevel="0" collapsed="false">
      <c r="A4" s="24" t="s">
        <v>336</v>
      </c>
      <c r="B4" s="24" t="s">
        <v>337</v>
      </c>
      <c r="C4" s="24" t="s">
        <v>338</v>
      </c>
      <c r="D4" s="24" t="s">
        <v>339</v>
      </c>
      <c r="E4" s="24" t="s">
        <v>93</v>
      </c>
      <c r="F4" s="24" t="s">
        <v>340</v>
      </c>
      <c r="G4" s="24" t="s">
        <v>341</v>
      </c>
    </row>
    <row r="5" customFormat="false" ht="15" hidden="false" customHeight="true" outlineLevel="0" collapsed="false">
      <c r="A5" s="25" t="s">
        <v>342</v>
      </c>
      <c r="B5" s="25" t="s">
        <v>343</v>
      </c>
      <c r="C5" s="25" t="s">
        <v>344</v>
      </c>
      <c r="D5" s="25" t="s">
        <v>345</v>
      </c>
      <c r="E5" s="25" t="s">
        <v>346</v>
      </c>
      <c r="F5" s="25" t="s">
        <v>210</v>
      </c>
      <c r="G5" s="25" t="s">
        <v>347</v>
      </c>
    </row>
    <row r="6" customFormat="false" ht="15" hidden="false" customHeight="true" outlineLevel="0" collapsed="false">
      <c r="A6" s="25" t="s">
        <v>342</v>
      </c>
      <c r="B6" s="25" t="s">
        <v>343</v>
      </c>
      <c r="C6" s="25" t="s">
        <v>348</v>
      </c>
      <c r="D6" s="25" t="s">
        <v>349</v>
      </c>
      <c r="E6" s="25" t="s">
        <v>350</v>
      </c>
      <c r="F6" s="25" t="s">
        <v>210</v>
      </c>
      <c r="G6" s="25" t="s">
        <v>351</v>
      </c>
    </row>
    <row r="7" customFormat="false" ht="15" hidden="false" customHeight="true" outlineLevel="0" collapsed="false">
      <c r="A7" s="25" t="s">
        <v>352</v>
      </c>
      <c r="B7" s="25" t="s">
        <v>343</v>
      </c>
      <c r="C7" s="25" t="s">
        <v>344</v>
      </c>
      <c r="D7" s="25" t="s">
        <v>353</v>
      </c>
      <c r="E7" s="25" t="s">
        <v>346</v>
      </c>
      <c r="F7" s="25" t="s">
        <v>210</v>
      </c>
      <c r="G7" s="25" t="s">
        <v>354</v>
      </c>
    </row>
    <row r="8" customFormat="false" ht="15" hidden="false" customHeight="true" outlineLevel="0" collapsed="false">
      <c r="A8" s="25" t="s">
        <v>352</v>
      </c>
      <c r="B8" s="25" t="s">
        <v>343</v>
      </c>
      <c r="C8" s="25" t="s">
        <v>348</v>
      </c>
      <c r="D8" s="25" t="s">
        <v>355</v>
      </c>
      <c r="E8" s="25" t="s">
        <v>346</v>
      </c>
      <c r="F8" s="25" t="s">
        <v>345</v>
      </c>
      <c r="G8" s="25" t="s">
        <v>356</v>
      </c>
    </row>
    <row r="9" customFormat="false" ht="15" hidden="false" customHeight="true" outlineLevel="0" collapsed="false">
      <c r="A9" s="25" t="s">
        <v>357</v>
      </c>
      <c r="B9" s="25" t="s">
        <v>343</v>
      </c>
      <c r="C9" s="25" t="s">
        <v>344</v>
      </c>
      <c r="D9" s="25" t="s">
        <v>358</v>
      </c>
      <c r="E9" s="25" t="s">
        <v>346</v>
      </c>
      <c r="F9" s="25" t="s">
        <v>210</v>
      </c>
      <c r="G9" s="25" t="s">
        <v>359</v>
      </c>
    </row>
    <row r="10" customFormat="false" ht="15" hidden="false" customHeight="true" outlineLevel="0" collapsed="false">
      <c r="A10" s="25" t="s">
        <v>357</v>
      </c>
      <c r="B10" s="25" t="s">
        <v>343</v>
      </c>
      <c r="C10" s="25" t="s">
        <v>348</v>
      </c>
      <c r="D10" s="25" t="s">
        <v>360</v>
      </c>
      <c r="E10" s="25" t="s">
        <v>346</v>
      </c>
      <c r="F10" s="25" t="s">
        <v>210</v>
      </c>
      <c r="G10" s="25" t="s">
        <v>361</v>
      </c>
    </row>
    <row r="11" customFormat="false" ht="15" hidden="false" customHeight="true" outlineLevel="0" collapsed="false">
      <c r="A11" s="25" t="s">
        <v>357</v>
      </c>
      <c r="B11" s="25" t="s">
        <v>343</v>
      </c>
      <c r="C11" s="25" t="s">
        <v>362</v>
      </c>
      <c r="D11" s="25" t="s">
        <v>363</v>
      </c>
      <c r="E11" s="25" t="s">
        <v>346</v>
      </c>
      <c r="F11" s="25" t="s">
        <v>210</v>
      </c>
      <c r="G11" s="25" t="s">
        <v>364</v>
      </c>
    </row>
    <row r="12" customFormat="false" ht="15" hidden="false" customHeight="true" outlineLevel="0" collapsed="false">
      <c r="A12" s="25" t="s">
        <v>357</v>
      </c>
      <c r="B12" s="25" t="s">
        <v>343</v>
      </c>
      <c r="C12" s="25" t="s">
        <v>365</v>
      </c>
      <c r="D12" s="25" t="s">
        <v>366</v>
      </c>
      <c r="E12" s="25" t="s">
        <v>346</v>
      </c>
      <c r="F12" s="25" t="s">
        <v>210</v>
      </c>
      <c r="G12" s="25" t="s">
        <v>367</v>
      </c>
    </row>
    <row r="13" customFormat="false" ht="15" hidden="false" customHeight="true" outlineLevel="0" collapsed="false">
      <c r="A13" s="25" t="s">
        <v>357</v>
      </c>
      <c r="B13" s="25" t="s">
        <v>343</v>
      </c>
      <c r="C13" s="25" t="s">
        <v>368</v>
      </c>
      <c r="D13" s="25" t="s">
        <v>369</v>
      </c>
      <c r="E13" s="25" t="s">
        <v>346</v>
      </c>
      <c r="F13" s="25" t="s">
        <v>210</v>
      </c>
      <c r="G13" s="25" t="s">
        <v>370</v>
      </c>
    </row>
    <row r="14" customFormat="false" ht="15" hidden="false" customHeight="true" outlineLevel="0" collapsed="false">
      <c r="A14" s="25" t="s">
        <v>357</v>
      </c>
      <c r="B14" s="25" t="s">
        <v>343</v>
      </c>
      <c r="C14" s="25" t="s">
        <v>371</v>
      </c>
      <c r="D14" s="25" t="s">
        <v>372</v>
      </c>
      <c r="E14" s="25" t="s">
        <v>346</v>
      </c>
      <c r="F14" s="25" t="s">
        <v>210</v>
      </c>
      <c r="G14" s="25" t="s">
        <v>373</v>
      </c>
    </row>
    <row r="15" customFormat="false" ht="15" hidden="false" customHeight="true" outlineLevel="0" collapsed="false">
      <c r="A15" s="25" t="s">
        <v>374</v>
      </c>
      <c r="B15" s="25" t="s">
        <v>343</v>
      </c>
      <c r="C15" s="25" t="s">
        <v>365</v>
      </c>
      <c r="D15" s="25" t="s">
        <v>375</v>
      </c>
      <c r="E15" s="25" t="s">
        <v>346</v>
      </c>
      <c r="F15" s="25" t="s">
        <v>210</v>
      </c>
      <c r="G15" s="25" t="s">
        <v>376</v>
      </c>
    </row>
    <row r="16" customFormat="false" ht="15" hidden="false" customHeight="true" outlineLevel="0" collapsed="false">
      <c r="A16" s="25" t="s">
        <v>374</v>
      </c>
      <c r="B16" s="25" t="s">
        <v>343</v>
      </c>
      <c r="C16" s="25" t="s">
        <v>344</v>
      </c>
      <c r="D16" s="25" t="s">
        <v>377</v>
      </c>
      <c r="E16" s="25" t="s">
        <v>350</v>
      </c>
      <c r="F16" s="25" t="s">
        <v>210</v>
      </c>
      <c r="G16" s="25" t="s">
        <v>378</v>
      </c>
    </row>
    <row r="17" customFormat="false" ht="15" hidden="false" customHeight="true" outlineLevel="0" collapsed="false">
      <c r="A17" s="25" t="s">
        <v>379</v>
      </c>
      <c r="B17" s="25" t="s">
        <v>343</v>
      </c>
      <c r="C17" s="25" t="s">
        <v>365</v>
      </c>
      <c r="D17" s="25" t="s">
        <v>380</v>
      </c>
      <c r="E17" s="25" t="s">
        <v>346</v>
      </c>
      <c r="F17" s="25" t="s">
        <v>210</v>
      </c>
      <c r="G17" s="25" t="s">
        <v>376</v>
      </c>
    </row>
    <row r="18" customFormat="false" ht="15" hidden="false" customHeight="true" outlineLevel="0" collapsed="false">
      <c r="A18" s="25" t="s">
        <v>379</v>
      </c>
      <c r="B18" s="25" t="s">
        <v>343</v>
      </c>
      <c r="C18" s="25" t="s">
        <v>344</v>
      </c>
      <c r="D18" s="25" t="s">
        <v>381</v>
      </c>
      <c r="E18" s="25" t="s">
        <v>382</v>
      </c>
      <c r="F18" s="25" t="s">
        <v>210</v>
      </c>
      <c r="G18" s="25" t="s">
        <v>383</v>
      </c>
    </row>
    <row r="19" customFormat="false" ht="15" hidden="false" customHeight="true" outlineLevel="0" collapsed="false">
      <c r="A19" s="25" t="s">
        <v>384</v>
      </c>
      <c r="B19" s="25" t="s">
        <v>343</v>
      </c>
      <c r="C19" s="25" t="s">
        <v>365</v>
      </c>
      <c r="D19" s="25" t="s">
        <v>385</v>
      </c>
      <c r="E19" s="25" t="s">
        <v>346</v>
      </c>
      <c r="F19" s="25" t="s">
        <v>210</v>
      </c>
      <c r="G19" s="25" t="s">
        <v>376</v>
      </c>
    </row>
    <row r="20" customFormat="false" ht="15" hidden="false" customHeight="true" outlineLevel="0" collapsed="false">
      <c r="A20" s="25" t="s">
        <v>384</v>
      </c>
      <c r="B20" s="25" t="s">
        <v>343</v>
      </c>
      <c r="C20" s="25" t="s">
        <v>344</v>
      </c>
      <c r="D20" s="25" t="s">
        <v>386</v>
      </c>
      <c r="E20" s="25" t="s">
        <v>382</v>
      </c>
      <c r="F20" s="25" t="s">
        <v>210</v>
      </c>
      <c r="G20" s="25" t="s">
        <v>387</v>
      </c>
    </row>
    <row r="21" customFormat="false" ht="15" hidden="false" customHeight="true" outlineLevel="0" collapsed="false">
      <c r="A21" s="25" t="s">
        <v>388</v>
      </c>
      <c r="B21" s="25" t="s">
        <v>389</v>
      </c>
      <c r="C21" s="25" t="s">
        <v>348</v>
      </c>
      <c r="D21" s="25" t="s">
        <v>390</v>
      </c>
      <c r="E21" s="25" t="s">
        <v>346</v>
      </c>
      <c r="F21" s="25" t="s">
        <v>210</v>
      </c>
      <c r="G21" s="25" t="s">
        <v>391</v>
      </c>
    </row>
    <row r="22" customFormat="false" ht="15" hidden="false" customHeight="true" outlineLevel="0" collapsed="false">
      <c r="A22" s="25" t="s">
        <v>392</v>
      </c>
      <c r="B22" s="25" t="s">
        <v>389</v>
      </c>
      <c r="C22" s="25" t="s">
        <v>348</v>
      </c>
      <c r="D22" s="25" t="s">
        <v>393</v>
      </c>
      <c r="E22" s="25" t="s">
        <v>346</v>
      </c>
      <c r="F22" s="25" t="s">
        <v>210</v>
      </c>
      <c r="G22" s="25" t="s">
        <v>391</v>
      </c>
    </row>
    <row r="23" customFormat="false" ht="15" hidden="false" customHeight="true" outlineLevel="0" collapsed="false">
      <c r="A23" s="25" t="s">
        <v>297</v>
      </c>
      <c r="B23" s="25" t="s">
        <v>394</v>
      </c>
      <c r="C23" s="25" t="s">
        <v>395</v>
      </c>
      <c r="D23" s="25" t="s">
        <v>396</v>
      </c>
      <c r="E23" s="25" t="s">
        <v>397</v>
      </c>
      <c r="F23" s="25" t="s">
        <v>328</v>
      </c>
      <c r="G23" s="25" t="s">
        <v>398</v>
      </c>
    </row>
    <row r="24" customFormat="false" ht="15" hidden="false" customHeight="true" outlineLevel="0" collapsed="false">
      <c r="A24" s="25" t="s">
        <v>304</v>
      </c>
      <c r="B24" s="25" t="s">
        <v>394</v>
      </c>
      <c r="C24" s="25" t="s">
        <v>395</v>
      </c>
      <c r="D24" s="25" t="s">
        <v>399</v>
      </c>
      <c r="E24" s="25" t="s">
        <v>397</v>
      </c>
      <c r="F24" s="25" t="s">
        <v>328</v>
      </c>
      <c r="G24" s="25" t="s">
        <v>398</v>
      </c>
    </row>
    <row r="25" customFormat="false" ht="15" hidden="false" customHeight="true" outlineLevel="0" collapsed="false">
      <c r="A25" s="25" t="s">
        <v>311</v>
      </c>
      <c r="B25" s="25" t="s">
        <v>394</v>
      </c>
      <c r="C25" s="25" t="s">
        <v>395</v>
      </c>
      <c r="D25" s="25" t="s">
        <v>400</v>
      </c>
      <c r="E25" s="25" t="s">
        <v>397</v>
      </c>
      <c r="F25" s="25" t="s">
        <v>328</v>
      </c>
      <c r="G25" s="25" t="s">
        <v>398</v>
      </c>
    </row>
    <row r="26" customFormat="false" ht="15" hidden="false" customHeight="true" outlineLevel="0" collapsed="false">
      <c r="A26" s="25" t="s">
        <v>317</v>
      </c>
      <c r="B26" s="25" t="s">
        <v>394</v>
      </c>
      <c r="C26" s="25" t="s">
        <v>395</v>
      </c>
      <c r="D26" s="25" t="s">
        <v>401</v>
      </c>
      <c r="E26" s="25" t="s">
        <v>397</v>
      </c>
      <c r="F26" s="25" t="s">
        <v>328</v>
      </c>
      <c r="G26" s="25" t="s">
        <v>398</v>
      </c>
    </row>
    <row r="27" customFormat="false" ht="15" hidden="false" customHeight="true" outlineLevel="0" collapsed="false">
      <c r="A27" s="25" t="s">
        <v>402</v>
      </c>
      <c r="B27" s="25" t="s">
        <v>394</v>
      </c>
      <c r="C27" s="25" t="s">
        <v>403</v>
      </c>
      <c r="D27" s="25" t="s">
        <v>404</v>
      </c>
      <c r="E27" s="25" t="s">
        <v>350</v>
      </c>
      <c r="F27" s="25" t="s">
        <v>377</v>
      </c>
      <c r="G27" s="25" t="s">
        <v>398</v>
      </c>
    </row>
    <row r="28" customFormat="false" ht="15" hidden="false" customHeight="true" outlineLevel="0" collapsed="false">
      <c r="A28" s="25" t="s">
        <v>405</v>
      </c>
      <c r="B28" s="25" t="s">
        <v>394</v>
      </c>
      <c r="C28" s="25" t="s">
        <v>403</v>
      </c>
      <c r="D28" s="25" t="s">
        <v>406</v>
      </c>
      <c r="E28" s="25" t="s">
        <v>382</v>
      </c>
      <c r="F28" s="25" t="s">
        <v>381</v>
      </c>
      <c r="G28" s="25" t="s">
        <v>398</v>
      </c>
    </row>
    <row r="29" customFormat="false" ht="15" hidden="false" customHeight="true" outlineLevel="0" collapsed="false">
      <c r="A29" s="25" t="s">
        <v>407</v>
      </c>
      <c r="B29" s="25" t="s">
        <v>394</v>
      </c>
      <c r="C29" s="25" t="s">
        <v>403</v>
      </c>
      <c r="D29" s="25" t="s">
        <v>408</v>
      </c>
      <c r="E29" s="25" t="s">
        <v>382</v>
      </c>
      <c r="F29" s="25" t="s">
        <v>386</v>
      </c>
      <c r="G29" s="25" t="s">
        <v>398</v>
      </c>
    </row>
    <row r="30" customFormat="false" ht="15" hidden="false" customHeight="true" outlineLevel="0" collapsed="false">
      <c r="A30" s="25" t="s">
        <v>409</v>
      </c>
      <c r="B30" s="25" t="s">
        <v>410</v>
      </c>
      <c r="C30" s="25" t="s">
        <v>411</v>
      </c>
      <c r="D30" s="25" t="s">
        <v>412</v>
      </c>
      <c r="E30" s="25" t="s">
        <v>413</v>
      </c>
      <c r="F30" s="25" t="s">
        <v>314</v>
      </c>
      <c r="G30" s="25" t="s">
        <v>414</v>
      </c>
    </row>
    <row r="31" customFormat="false" ht="15" hidden="false" customHeight="true" outlineLevel="0" collapsed="false">
      <c r="A31" s="25" t="s">
        <v>415</v>
      </c>
      <c r="B31" s="25" t="s">
        <v>410</v>
      </c>
      <c r="C31" s="25" t="s">
        <v>411</v>
      </c>
      <c r="D31" s="25" t="s">
        <v>416</v>
      </c>
      <c r="E31" s="25" t="s">
        <v>413</v>
      </c>
      <c r="F31" s="25" t="s">
        <v>314</v>
      </c>
      <c r="G31" s="25" t="s">
        <v>417</v>
      </c>
    </row>
    <row r="32" customFormat="false" ht="15" hidden="false" customHeight="true" outlineLevel="0" collapsed="false">
      <c r="A32" s="25" t="s">
        <v>418</v>
      </c>
      <c r="B32" s="25" t="s">
        <v>410</v>
      </c>
      <c r="C32" s="25" t="s">
        <v>411</v>
      </c>
      <c r="D32" s="25" t="s">
        <v>419</v>
      </c>
      <c r="E32" s="25" t="s">
        <v>413</v>
      </c>
      <c r="F32" s="25" t="s">
        <v>314</v>
      </c>
      <c r="G32" s="25" t="s">
        <v>420</v>
      </c>
    </row>
    <row r="33" customFormat="false" ht="15" hidden="false" customHeight="true" outlineLevel="0" collapsed="false">
      <c r="A33" s="25" t="s">
        <v>421</v>
      </c>
      <c r="B33" s="25" t="s">
        <v>410</v>
      </c>
      <c r="C33" s="25" t="s">
        <v>411</v>
      </c>
      <c r="D33" s="25" t="s">
        <v>422</v>
      </c>
      <c r="E33" s="25" t="s">
        <v>413</v>
      </c>
      <c r="F33" s="25" t="s">
        <v>314</v>
      </c>
      <c r="G33" s="25" t="s">
        <v>423</v>
      </c>
    </row>
    <row r="34" customFormat="false" ht="15" hidden="false" customHeight="true" outlineLevel="0" collapsed="false">
      <c r="A34" s="25" t="s">
        <v>424</v>
      </c>
      <c r="B34" s="25" t="s">
        <v>410</v>
      </c>
      <c r="C34" s="25" t="s">
        <v>411</v>
      </c>
      <c r="D34" s="25" t="s">
        <v>425</v>
      </c>
      <c r="E34" s="25" t="s">
        <v>413</v>
      </c>
      <c r="F34" s="25" t="s">
        <v>314</v>
      </c>
      <c r="G34" s="25" t="s">
        <v>426</v>
      </c>
    </row>
    <row r="35" customFormat="false" ht="15" hidden="false" customHeight="true" outlineLevel="0" collapsed="false">
      <c r="A35" s="25" t="s">
        <v>427</v>
      </c>
      <c r="B35" s="25" t="s">
        <v>410</v>
      </c>
      <c r="C35" s="25" t="s">
        <v>411</v>
      </c>
      <c r="D35" s="25" t="s">
        <v>428</v>
      </c>
      <c r="E35" s="25" t="s">
        <v>413</v>
      </c>
      <c r="F35" s="25" t="s">
        <v>314</v>
      </c>
      <c r="G35" s="25" t="s">
        <v>429</v>
      </c>
    </row>
    <row r="36" customFormat="false" ht="15" hidden="false" customHeight="true" outlineLevel="0" collapsed="false">
      <c r="A36" s="25" t="s">
        <v>430</v>
      </c>
      <c r="B36" s="25" t="s">
        <v>410</v>
      </c>
      <c r="C36" s="25" t="s">
        <v>411</v>
      </c>
      <c r="D36" s="25" t="s">
        <v>431</v>
      </c>
      <c r="E36" s="25" t="s">
        <v>350</v>
      </c>
      <c r="F36" s="25" t="s">
        <v>349</v>
      </c>
      <c r="G36" s="25" t="s">
        <v>432</v>
      </c>
    </row>
    <row r="37" customFormat="false" ht="15" hidden="false" customHeight="false" outlineLevel="0" collapsed="false">
      <c r="A37" s="4" t="s">
        <v>352</v>
      </c>
      <c r="B37" s="4" t="s">
        <v>343</v>
      </c>
      <c r="C37" s="4" t="s">
        <v>362</v>
      </c>
      <c r="D37" s="4" t="s">
        <v>433</v>
      </c>
      <c r="E37" s="4" t="s">
        <v>350</v>
      </c>
      <c r="F37" s="4" t="s">
        <v>210</v>
      </c>
      <c r="G37" s="4" t="s">
        <v>434</v>
      </c>
    </row>
    <row r="38" customFormat="false" ht="15" hidden="false" customHeight="false" outlineLevel="0" collapsed="false">
      <c r="A38" s="4" t="s">
        <v>435</v>
      </c>
      <c r="B38" s="4" t="s">
        <v>410</v>
      </c>
      <c r="C38" s="4" t="s">
        <v>411</v>
      </c>
      <c r="D38" s="4" t="s">
        <v>436</v>
      </c>
      <c r="E38" s="4" t="s">
        <v>413</v>
      </c>
      <c r="F38" s="4" t="s">
        <v>314</v>
      </c>
      <c r="G38" s="4" t="s">
        <v>437</v>
      </c>
    </row>
    <row r="39" customFormat="false" ht="15" hidden="false" customHeight="false" outlineLevel="0" collapsed="false">
      <c r="A39" s="4" t="s">
        <v>438</v>
      </c>
      <c r="B39" s="4" t="s">
        <v>410</v>
      </c>
      <c r="C39" s="4" t="s">
        <v>411</v>
      </c>
      <c r="D39" s="4" t="s">
        <v>439</v>
      </c>
      <c r="E39" s="4" t="s">
        <v>413</v>
      </c>
      <c r="F39" s="4" t="s">
        <v>314</v>
      </c>
      <c r="G39" s="4" t="s">
        <v>440</v>
      </c>
    </row>
    <row r="41" customFormat="false" ht="15" hidden="false" customHeight="false" outlineLevel="0" collapsed="false">
      <c r="A41" s="9" t="s">
        <v>441</v>
      </c>
    </row>
    <row r="42" customFormat="false" ht="15" hidden="false" customHeight="false" outlineLevel="0" collapsed="false">
      <c r="A42" s="19" t="s">
        <v>442</v>
      </c>
      <c r="B42" s="19" t="n">
        <f aca="false">2^(32-26)-2</f>
        <v>62</v>
      </c>
    </row>
    <row r="43" customFormat="false" ht="15" hidden="false" customHeight="false" outlineLevel="0" collapsed="false">
      <c r="A43" s="19" t="s">
        <v>443</v>
      </c>
      <c r="B43" s="19" t="n">
        <v>3</v>
      </c>
    </row>
    <row r="44" customFormat="false" ht="15" hidden="false" customHeight="false" outlineLevel="0" collapsed="false">
      <c r="A44" s="19" t="s">
        <v>444</v>
      </c>
      <c r="B44" s="19" t="n">
        <v>35</v>
      </c>
    </row>
    <row r="45" customFormat="false" ht="15" hidden="false" customHeight="false" outlineLevel="0" collapsed="false">
      <c r="A45" s="19" t="s">
        <v>445</v>
      </c>
      <c r="B45" s="19" t="n">
        <v>2</v>
      </c>
    </row>
    <row r="46" customFormat="false" ht="15" hidden="false" customHeight="false" outlineLevel="0" collapsed="false">
      <c r="A46" s="19" t="s">
        <v>446</v>
      </c>
      <c r="B46" s="19" t="n">
        <f aca="false">SUM(B43:B45)</f>
        <v>40</v>
      </c>
    </row>
    <row r="47" customFormat="false" ht="15" hidden="false" customHeight="false" outlineLevel="0" collapsed="false">
      <c r="A47" s="19" t="s">
        <v>447</v>
      </c>
      <c r="B47" s="19" t="n">
        <f aca="false">B42-B46</f>
        <v>22</v>
      </c>
    </row>
    <row r="48" customFormat="false" ht="15" hidden="false" customHeight="false" outlineLevel="0" collapsed="false">
      <c r="A48" s="19" t="s">
        <v>448</v>
      </c>
      <c r="B48" s="19" t="n">
        <f aca="false">COUNTIFS(D5:D39,"172.30.4.*",B5:B39,"Server-PT")</f>
        <v>8</v>
      </c>
    </row>
    <row r="49" customFormat="false" ht="15" hidden="false" customHeight="false" outlineLevel="0" collapsed="false">
      <c r="A49" s="19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9" min="2" style="0" width="11"/>
  </cols>
  <sheetData>
    <row r="1" customFormat="false" ht="16.15" hidden="false" customHeight="false" outlineLevel="0" collapsed="false">
      <c r="A1" s="1" t="s">
        <v>450</v>
      </c>
    </row>
    <row r="2" customFormat="false" ht="15" hidden="false" customHeight="false" outlineLevel="0" collapsed="false">
      <c r="A2" s="2" t="s">
        <v>451</v>
      </c>
    </row>
    <row r="3" customFormat="false" ht="15" hidden="false" customHeight="false" outlineLevel="0" collapsed="false">
      <c r="A3" s="11" t="s">
        <v>452</v>
      </c>
    </row>
    <row r="4" customFormat="false" ht="39.55" hidden="false" customHeight="false" outlineLevel="0" collapsed="false">
      <c r="A4" s="7" t="s">
        <v>453</v>
      </c>
      <c r="B4" s="32" t="s">
        <v>454</v>
      </c>
      <c r="C4" s="32" t="s">
        <v>455</v>
      </c>
      <c r="D4" s="32" t="s">
        <v>456</v>
      </c>
      <c r="E4" s="32" t="s">
        <v>457</v>
      </c>
      <c r="F4" s="32" t="s">
        <v>458</v>
      </c>
      <c r="G4" s="32" t="s">
        <v>459</v>
      </c>
      <c r="H4" s="32" t="s">
        <v>460</v>
      </c>
      <c r="I4" s="32" t="s">
        <v>461</v>
      </c>
      <c r="J4" s="32" t="s">
        <v>462</v>
      </c>
      <c r="K4" s="32" t="s">
        <v>463</v>
      </c>
      <c r="L4" s="32" t="s">
        <v>464</v>
      </c>
      <c r="M4" s="32" t="s">
        <v>465</v>
      </c>
      <c r="N4" s="32" t="s">
        <v>466</v>
      </c>
      <c r="O4" s="32" t="s">
        <v>467</v>
      </c>
      <c r="P4" s="32" t="s">
        <v>468</v>
      </c>
      <c r="Q4" s="32" t="s">
        <v>469</v>
      </c>
      <c r="R4" s="32" t="s">
        <v>470</v>
      </c>
      <c r="S4" s="32" t="s">
        <v>471</v>
      </c>
    </row>
    <row r="5" customFormat="false" ht="15" hidden="false" customHeight="false" outlineLevel="0" collapsed="false">
      <c r="A5" s="33" t="n">
        <v>1</v>
      </c>
      <c r="B5" s="13"/>
      <c r="C5" s="13" t="n">
        <v>0</v>
      </c>
      <c r="D5" s="13" t="n">
        <v>3</v>
      </c>
      <c r="E5" s="13" t="n">
        <v>0</v>
      </c>
      <c r="F5" s="13" t="n">
        <v>0</v>
      </c>
      <c r="G5" s="13" t="n">
        <v>0</v>
      </c>
      <c r="H5" s="13" t="n">
        <v>15</v>
      </c>
      <c r="I5" s="13" t="n">
        <v>1</v>
      </c>
      <c r="J5" s="13" t="n">
        <v>23</v>
      </c>
      <c r="K5" s="13" t="n">
        <v>1</v>
      </c>
      <c r="L5" s="13" t="n">
        <v>2</v>
      </c>
      <c r="M5" s="13" t="n">
        <v>1</v>
      </c>
      <c r="N5" s="13"/>
      <c r="O5" s="13" t="n">
        <v>2</v>
      </c>
      <c r="P5" s="13" t="n">
        <v>2</v>
      </c>
      <c r="Q5" s="13" t="n">
        <v>18</v>
      </c>
      <c r="R5" s="13" t="n">
        <v>10</v>
      </c>
      <c r="S5" s="13" t="n">
        <v>23</v>
      </c>
    </row>
    <row r="6" customFormat="false" ht="15" hidden="false" customHeight="false" outlineLevel="0" collapsed="false">
      <c r="A6" s="33" t="n">
        <v>2</v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1</v>
      </c>
      <c r="H6" s="13" t="n">
        <v>1</v>
      </c>
      <c r="I6" s="13" t="n">
        <v>1</v>
      </c>
      <c r="J6" s="13" t="n">
        <v>10</v>
      </c>
      <c r="K6" s="13" t="n">
        <v>8</v>
      </c>
      <c r="L6" s="13" t="n">
        <v>1</v>
      </c>
      <c r="M6" s="13" t="n">
        <v>19</v>
      </c>
      <c r="N6" s="13" t="n">
        <v>5</v>
      </c>
      <c r="O6" s="13" t="n">
        <v>17</v>
      </c>
      <c r="P6" s="13" t="n">
        <v>2</v>
      </c>
      <c r="Q6" s="13" t="n">
        <v>0</v>
      </c>
      <c r="R6" s="13" t="n">
        <v>0</v>
      </c>
      <c r="S6" s="13" t="n">
        <v>10</v>
      </c>
    </row>
    <row r="7" customFormat="false" ht="15" hidden="false" customHeight="false" outlineLevel="0" collapsed="false">
      <c r="A7" s="33" t="n">
        <v>3</v>
      </c>
      <c r="B7" s="13" t="n">
        <v>0</v>
      </c>
      <c r="C7" s="13" t="n">
        <v>32</v>
      </c>
      <c r="D7" s="13" t="n">
        <v>0</v>
      </c>
      <c r="E7" s="13" t="n">
        <v>0</v>
      </c>
      <c r="F7" s="13" t="n">
        <v>1</v>
      </c>
      <c r="G7" s="13" t="n">
        <v>0</v>
      </c>
      <c r="H7" s="13"/>
      <c r="I7" s="13" t="n">
        <v>1</v>
      </c>
      <c r="J7" s="13" t="n">
        <v>1</v>
      </c>
      <c r="K7" s="13" t="n">
        <v>1</v>
      </c>
      <c r="L7" s="13" t="n">
        <v>20</v>
      </c>
      <c r="M7" s="13" t="n">
        <v>1</v>
      </c>
      <c r="N7" s="13" t="n">
        <v>12</v>
      </c>
      <c r="O7" s="13" t="n">
        <v>4</v>
      </c>
      <c r="P7" s="13" t="n">
        <v>13</v>
      </c>
      <c r="Q7" s="13" t="n">
        <v>0</v>
      </c>
      <c r="R7" s="13" t="n">
        <v>1</v>
      </c>
      <c r="S7" s="13" t="n">
        <v>9</v>
      </c>
    </row>
    <row r="8" customFormat="false" ht="15" hidden="false" customHeight="false" outlineLevel="0" collapsed="false">
      <c r="A8" s="33" t="n">
        <v>4</v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1</v>
      </c>
      <c r="G8" s="13" t="n">
        <v>0</v>
      </c>
      <c r="H8" s="13" t="n">
        <v>15</v>
      </c>
      <c r="I8" s="13" t="n">
        <v>10</v>
      </c>
      <c r="J8" s="13" t="n">
        <v>2</v>
      </c>
      <c r="K8" s="13" t="n">
        <v>8</v>
      </c>
      <c r="L8" s="13" t="n">
        <v>4</v>
      </c>
      <c r="M8" s="13" t="n">
        <v>7</v>
      </c>
      <c r="N8" s="13" t="n">
        <v>1</v>
      </c>
      <c r="O8" s="13" t="n">
        <v>1</v>
      </c>
      <c r="P8" s="13" t="n">
        <v>1</v>
      </c>
      <c r="Q8" s="13" t="n">
        <v>10</v>
      </c>
      <c r="R8" s="13" t="n">
        <v>10</v>
      </c>
      <c r="S8" s="13" t="n">
        <v>0</v>
      </c>
    </row>
    <row r="9" customFormat="false" ht="15" hidden="false" customHeight="false" outlineLevel="0" collapsed="false">
      <c r="A9" s="33" t="n">
        <v>5</v>
      </c>
      <c r="B9" s="13" t="n">
        <v>0</v>
      </c>
      <c r="C9" s="13" t="n">
        <v>1</v>
      </c>
      <c r="D9" s="13" t="n">
        <v>0</v>
      </c>
      <c r="E9" s="13" t="n">
        <v>1</v>
      </c>
      <c r="F9" s="13" t="n">
        <v>0</v>
      </c>
      <c r="G9" s="13" t="n">
        <v>0</v>
      </c>
      <c r="H9" s="13" t="n">
        <v>1</v>
      </c>
      <c r="I9" s="13" t="n">
        <v>1</v>
      </c>
      <c r="J9" s="13" t="n">
        <v>1</v>
      </c>
      <c r="K9" s="13" t="n">
        <v>2</v>
      </c>
      <c r="L9" s="13" t="n">
        <v>12</v>
      </c>
      <c r="M9" s="13" t="n">
        <v>11</v>
      </c>
      <c r="N9" s="13" t="n">
        <v>1</v>
      </c>
      <c r="O9" s="13" t="n">
        <v>1</v>
      </c>
      <c r="P9" s="13" t="n">
        <v>1</v>
      </c>
      <c r="Q9" s="13" t="n">
        <v>0</v>
      </c>
      <c r="R9" s="13" t="n">
        <v>10</v>
      </c>
      <c r="S9" s="13" t="n">
        <v>2</v>
      </c>
    </row>
    <row r="10" customFormat="false" ht="15" hidden="false" customHeight="false" outlineLevel="0" collapsed="false">
      <c r="A10" s="33" t="n">
        <v>6</v>
      </c>
      <c r="B10" s="13" t="n">
        <v>2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11</v>
      </c>
      <c r="H10" s="13" t="n">
        <v>2</v>
      </c>
      <c r="I10" s="13" t="n">
        <v>1</v>
      </c>
      <c r="J10" s="13" t="n">
        <v>2</v>
      </c>
      <c r="K10" s="13" t="n">
        <v>1</v>
      </c>
      <c r="L10" s="13" t="n">
        <v>11</v>
      </c>
      <c r="M10" s="13" t="n">
        <v>4</v>
      </c>
      <c r="N10" s="13" t="n">
        <v>1</v>
      </c>
      <c r="O10" s="13" t="n">
        <v>2</v>
      </c>
      <c r="P10" s="13" t="n">
        <v>1</v>
      </c>
      <c r="Q10" s="13" t="n">
        <v>0</v>
      </c>
      <c r="R10" s="13" t="n">
        <v>0</v>
      </c>
      <c r="S10" s="13" t="n">
        <v>13</v>
      </c>
    </row>
    <row r="11" customFormat="false" ht="15" hidden="false" customHeight="false" outlineLevel="0" collapsed="false">
      <c r="A11" s="33" t="n">
        <v>7</v>
      </c>
      <c r="B11" s="13" t="n">
        <v>1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23</v>
      </c>
      <c r="H11" s="13" t="n">
        <v>1</v>
      </c>
      <c r="I11" s="13" t="n">
        <v>21</v>
      </c>
      <c r="J11" s="13" t="n">
        <v>2</v>
      </c>
      <c r="K11" s="13" t="n">
        <v>1</v>
      </c>
      <c r="L11" s="13" t="n">
        <v>21</v>
      </c>
      <c r="M11" s="13" t="n">
        <v>1</v>
      </c>
      <c r="N11" s="13" t="n">
        <v>10</v>
      </c>
      <c r="O11" s="13" t="n">
        <v>1</v>
      </c>
      <c r="P11" s="13" t="n">
        <v>0</v>
      </c>
      <c r="Q11" s="13" t="n">
        <v>0</v>
      </c>
      <c r="R11" s="13" t="n">
        <v>0</v>
      </c>
      <c r="S11" s="13" t="n">
        <v>36</v>
      </c>
    </row>
    <row r="12" customFormat="false" ht="15" hidden="false" customHeight="false" outlineLevel="0" collapsed="false">
      <c r="A12" s="33" t="n">
        <v>8</v>
      </c>
      <c r="B12" s="13" t="n">
        <v>1</v>
      </c>
      <c r="C12" s="13" t="n">
        <v>0</v>
      </c>
      <c r="D12" s="13" t="n">
        <v>9</v>
      </c>
      <c r="E12" s="13" t="n">
        <v>0</v>
      </c>
      <c r="F12" s="13" t="n">
        <v>10</v>
      </c>
      <c r="G12" s="13" t="n">
        <v>1</v>
      </c>
      <c r="H12" s="13" t="n">
        <v>1</v>
      </c>
      <c r="I12" s="13" t="n">
        <v>1</v>
      </c>
      <c r="J12" s="13" t="n">
        <v>3</v>
      </c>
      <c r="K12" s="13" t="n">
        <v>1</v>
      </c>
      <c r="L12" s="13" t="n">
        <v>2</v>
      </c>
      <c r="M12" s="13" t="n">
        <v>2</v>
      </c>
      <c r="N12" s="13" t="n">
        <v>1</v>
      </c>
      <c r="O12" s="13" t="n">
        <v>1</v>
      </c>
      <c r="P12" s="13" t="n">
        <v>1</v>
      </c>
      <c r="Q12" s="13" t="n">
        <v>0</v>
      </c>
      <c r="R12" s="13" t="n">
        <v>0</v>
      </c>
      <c r="S12" s="13" t="n">
        <v>13</v>
      </c>
    </row>
    <row r="13" customFormat="false" ht="15" hidden="false" customHeight="false" outlineLevel="0" collapsed="false">
      <c r="A13" s="33" t="n">
        <v>9</v>
      </c>
      <c r="B13" s="13" t="n">
        <v>11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4</v>
      </c>
      <c r="I13" s="13" t="n">
        <v>1</v>
      </c>
      <c r="J13" s="13" t="n">
        <v>1</v>
      </c>
      <c r="K13" s="13" t="n">
        <v>1</v>
      </c>
      <c r="L13" s="13" t="n">
        <v>1</v>
      </c>
      <c r="M13" s="13" t="n">
        <v>1</v>
      </c>
      <c r="N13" s="13" t="n">
        <v>1</v>
      </c>
      <c r="O13" s="13" t="n">
        <v>1</v>
      </c>
      <c r="P13" s="13" t="n">
        <v>1</v>
      </c>
      <c r="Q13" s="13" t="n">
        <v>0</v>
      </c>
      <c r="R13" s="13" t="n">
        <v>13</v>
      </c>
      <c r="S13" s="13" t="n">
        <v>1</v>
      </c>
    </row>
    <row r="14" customFormat="false" ht="15" hidden="false" customHeight="false" outlineLevel="0" collapsed="false">
      <c r="A14" s="33" t="n">
        <v>10</v>
      </c>
      <c r="B14" s="13" t="n">
        <v>1</v>
      </c>
      <c r="C14" s="13" t="n">
        <v>1</v>
      </c>
      <c r="D14" s="13" t="n">
        <v>1</v>
      </c>
      <c r="E14" s="13" t="n">
        <v>0</v>
      </c>
      <c r="F14" s="13" t="n">
        <v>0</v>
      </c>
      <c r="G14" s="13" t="n">
        <v>0</v>
      </c>
      <c r="H14" s="13" t="n">
        <v>1</v>
      </c>
      <c r="I14" s="13" t="n">
        <v>1</v>
      </c>
      <c r="J14" s="13" t="n">
        <v>1</v>
      </c>
      <c r="K14" s="13" t="n">
        <v>2</v>
      </c>
      <c r="L14" s="13" t="n">
        <v>1</v>
      </c>
      <c r="M14" s="13" t="n">
        <v>1</v>
      </c>
      <c r="N14" s="13" t="n">
        <v>1</v>
      </c>
      <c r="O14" s="13" t="n">
        <v>3</v>
      </c>
      <c r="P14" s="13" t="n">
        <v>10</v>
      </c>
      <c r="Q14" s="13" t="n">
        <v>0</v>
      </c>
      <c r="R14" s="13" t="n">
        <v>0</v>
      </c>
      <c r="S14" s="13" t="n">
        <v>10</v>
      </c>
    </row>
    <row r="15" customFormat="false" ht="15" hidden="false" customHeight="false" outlineLevel="0" collapsed="false">
      <c r="A15" s="33" t="n">
        <v>11</v>
      </c>
      <c r="B15" s="13" t="n">
        <v>7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2</v>
      </c>
      <c r="I15" s="13" t="n">
        <v>20</v>
      </c>
      <c r="J15" s="13" t="n">
        <v>1</v>
      </c>
      <c r="K15" s="13" t="n">
        <v>2</v>
      </c>
      <c r="L15" s="13" t="n">
        <v>1</v>
      </c>
      <c r="M15" s="13" t="n">
        <v>1</v>
      </c>
      <c r="N15" s="13" t="n">
        <v>1</v>
      </c>
      <c r="O15" s="13" t="n">
        <v>1</v>
      </c>
      <c r="P15" s="13" t="n">
        <v>2</v>
      </c>
      <c r="Q15" s="13" t="n">
        <v>7</v>
      </c>
      <c r="R15" s="13" t="n">
        <v>0</v>
      </c>
      <c r="S15" s="13" t="n">
        <v>10</v>
      </c>
    </row>
    <row r="16" customFormat="false" ht="15" hidden="false" customHeight="false" outlineLevel="0" collapsed="false">
      <c r="A16" s="33" t="n">
        <v>12</v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2</v>
      </c>
      <c r="G16" s="13" t="n">
        <v>10</v>
      </c>
      <c r="H16" s="13" t="n">
        <v>2</v>
      </c>
      <c r="I16" s="13" t="n">
        <v>11</v>
      </c>
      <c r="J16" s="13" t="n">
        <v>1</v>
      </c>
      <c r="K16" s="13" t="n">
        <v>1</v>
      </c>
      <c r="L16" s="13" t="n">
        <v>1</v>
      </c>
      <c r="M16" s="13" t="n">
        <v>2</v>
      </c>
      <c r="N16" s="13" t="n">
        <v>1</v>
      </c>
      <c r="O16" s="13" t="n">
        <v>2</v>
      </c>
      <c r="P16" s="13" t="n">
        <v>1</v>
      </c>
      <c r="Q16" s="13" t="n">
        <v>1</v>
      </c>
      <c r="R16" s="13" t="n">
        <v>0</v>
      </c>
      <c r="S16" s="13" t="n">
        <v>10</v>
      </c>
    </row>
    <row r="17" customFormat="false" ht="15" hidden="false" customHeight="false" outlineLevel="0" collapsed="false">
      <c r="A17" s="33" t="n">
        <v>13</v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17</v>
      </c>
      <c r="I17" s="13" t="n">
        <v>1</v>
      </c>
      <c r="J17" s="13" t="n">
        <v>1</v>
      </c>
      <c r="K17" s="13" t="n">
        <v>1</v>
      </c>
      <c r="L17" s="13" t="n">
        <v>1</v>
      </c>
      <c r="M17" s="13" t="n">
        <v>1</v>
      </c>
      <c r="N17" s="13" t="n">
        <v>2</v>
      </c>
      <c r="O17" s="13" t="n">
        <v>1</v>
      </c>
      <c r="P17" s="13" t="n">
        <v>1</v>
      </c>
      <c r="Q17" s="13" t="n">
        <v>0</v>
      </c>
      <c r="R17" s="13" t="n">
        <v>10</v>
      </c>
      <c r="S17" s="13" t="n">
        <v>10</v>
      </c>
    </row>
    <row r="18" customFormat="false" ht="15" hidden="false" customHeight="false" outlineLevel="0" collapsed="false">
      <c r="A18" s="33" t="n">
        <v>14</v>
      </c>
      <c r="B18" s="13" t="n">
        <v>0</v>
      </c>
      <c r="C18" s="13" t="n">
        <v>8</v>
      </c>
      <c r="D18" s="13" t="n">
        <v>1</v>
      </c>
      <c r="E18" s="13" t="n">
        <v>2</v>
      </c>
      <c r="F18" s="13" t="n">
        <v>0</v>
      </c>
      <c r="G18" s="13" t="n">
        <v>10</v>
      </c>
      <c r="H18" s="13" t="n">
        <v>14</v>
      </c>
      <c r="I18" s="13" t="n">
        <v>2</v>
      </c>
      <c r="J18" s="13" t="n">
        <v>1</v>
      </c>
      <c r="K18" s="13" t="n">
        <v>1</v>
      </c>
      <c r="L18" s="13" t="n">
        <v>1</v>
      </c>
      <c r="M18" s="13" t="n">
        <v>1</v>
      </c>
      <c r="N18" s="13" t="n">
        <v>2</v>
      </c>
      <c r="O18" s="13" t="n">
        <v>2</v>
      </c>
      <c r="P18" s="13" t="n">
        <v>1</v>
      </c>
      <c r="Q18" s="13" t="n">
        <v>12</v>
      </c>
      <c r="R18" s="13" t="n">
        <v>0</v>
      </c>
      <c r="S18" s="13" t="n">
        <v>0</v>
      </c>
    </row>
    <row r="19" customFormat="false" ht="15" hidden="false" customHeight="false" outlineLevel="0" collapsed="false">
      <c r="A19" s="33" t="n">
        <v>15</v>
      </c>
      <c r="B19" s="13" t="n">
        <v>10</v>
      </c>
      <c r="C19" s="13" t="n">
        <v>16</v>
      </c>
      <c r="D19" s="13" t="n">
        <v>1</v>
      </c>
      <c r="E19" s="13" t="n">
        <v>0</v>
      </c>
      <c r="F19" s="13" t="n">
        <v>0</v>
      </c>
      <c r="G19" s="13" t="n">
        <v>24</v>
      </c>
      <c r="H19" s="13" t="n">
        <v>1</v>
      </c>
      <c r="I19" s="13" t="n">
        <v>1</v>
      </c>
      <c r="J19" s="13" t="n">
        <v>1</v>
      </c>
      <c r="K19" s="13" t="n">
        <v>10</v>
      </c>
      <c r="L19" s="13" t="n">
        <v>1</v>
      </c>
      <c r="M19" s="13" t="n">
        <v>1</v>
      </c>
      <c r="N19" s="13" t="n">
        <v>1</v>
      </c>
      <c r="O19" s="13" t="n">
        <v>10</v>
      </c>
      <c r="P19" s="13" t="n">
        <v>16</v>
      </c>
      <c r="Q19" s="13" t="n">
        <v>0</v>
      </c>
      <c r="R19" s="13" t="n">
        <v>0</v>
      </c>
      <c r="S19" s="13" t="n">
        <v>10</v>
      </c>
    </row>
    <row r="20" customFormat="false" ht="15" hidden="false" customHeight="false" outlineLevel="0" collapsed="false">
      <c r="A20" s="33" t="n">
        <v>16</v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12</v>
      </c>
      <c r="H20" s="13" t="n">
        <v>1</v>
      </c>
      <c r="I20" s="13" t="n">
        <v>22</v>
      </c>
      <c r="J20" s="13" t="n">
        <v>3</v>
      </c>
      <c r="K20" s="13" t="n">
        <v>1</v>
      </c>
      <c r="L20" s="13" t="n">
        <v>1</v>
      </c>
      <c r="M20" s="13" t="n">
        <v>1</v>
      </c>
      <c r="N20" s="13" t="n">
        <v>3</v>
      </c>
      <c r="O20" s="13" t="n">
        <v>26</v>
      </c>
      <c r="P20" s="13" t="n">
        <v>1</v>
      </c>
      <c r="Q20" s="13" t="n">
        <v>10</v>
      </c>
      <c r="R20" s="13" t="n">
        <v>0</v>
      </c>
      <c r="S20" s="13" t="n">
        <v>0</v>
      </c>
    </row>
    <row r="21" customFormat="false" ht="15" hidden="false" customHeight="false" outlineLevel="0" collapsed="false">
      <c r="A21" s="33" t="n">
        <v>17</v>
      </c>
      <c r="B21" s="13" t="n">
        <v>0</v>
      </c>
      <c r="C21" s="13" t="n">
        <v>0</v>
      </c>
      <c r="D21" s="13" t="n">
        <v>7</v>
      </c>
      <c r="E21" s="13" t="n">
        <v>0</v>
      </c>
      <c r="F21" s="13" t="n">
        <v>0</v>
      </c>
      <c r="G21" s="13" t="n">
        <v>10</v>
      </c>
      <c r="H21" s="13" t="n">
        <v>1</v>
      </c>
      <c r="I21" s="13" t="n">
        <v>1</v>
      </c>
      <c r="J21" s="13" t="n">
        <v>1</v>
      </c>
      <c r="K21" s="13" t="n">
        <v>1</v>
      </c>
      <c r="L21" s="13" t="n">
        <v>1</v>
      </c>
      <c r="M21" s="13" t="n">
        <v>1</v>
      </c>
      <c r="N21" s="13" t="n">
        <v>1</v>
      </c>
      <c r="O21" s="13" t="n">
        <v>1</v>
      </c>
      <c r="P21" s="13" t="n">
        <v>6</v>
      </c>
      <c r="Q21" s="13" t="n">
        <v>0</v>
      </c>
      <c r="R21" s="13" t="n">
        <v>0</v>
      </c>
      <c r="S21" s="13" t="n">
        <v>1</v>
      </c>
    </row>
    <row r="22" customFormat="false" ht="15" hidden="false" customHeight="false" outlineLevel="0" collapsed="false">
      <c r="A22" s="33" t="n">
        <v>18</v>
      </c>
      <c r="B22" s="13" t="n">
        <v>0</v>
      </c>
      <c r="C22" s="13" t="n">
        <v>0</v>
      </c>
      <c r="D22" s="13" t="n">
        <v>10</v>
      </c>
      <c r="E22" s="13" t="n">
        <v>0</v>
      </c>
      <c r="F22" s="13" t="n">
        <v>0</v>
      </c>
      <c r="G22" s="13" t="n">
        <v>0</v>
      </c>
      <c r="H22" s="13" t="n">
        <v>1</v>
      </c>
      <c r="I22" s="13" t="n">
        <v>1</v>
      </c>
      <c r="J22" s="13" t="n">
        <v>1</v>
      </c>
      <c r="K22" s="13" t="n">
        <v>2</v>
      </c>
      <c r="L22" s="13" t="n">
        <v>2</v>
      </c>
      <c r="M22" s="13" t="n">
        <v>2</v>
      </c>
      <c r="N22" s="13" t="n">
        <v>2</v>
      </c>
      <c r="O22" s="13" t="n">
        <v>11</v>
      </c>
      <c r="P22" s="13" t="n">
        <v>1</v>
      </c>
      <c r="Q22" s="13" t="n">
        <v>0</v>
      </c>
      <c r="R22" s="13" t="n">
        <v>0</v>
      </c>
      <c r="S22" s="13" t="n">
        <v>0</v>
      </c>
    </row>
    <row r="23" customFormat="false" ht="15" hidden="false" customHeight="false" outlineLevel="0" collapsed="false">
      <c r="A23" s="33" t="n">
        <v>19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3</v>
      </c>
      <c r="I23" s="13" t="n">
        <v>9</v>
      </c>
      <c r="J23" s="13" t="n">
        <v>1</v>
      </c>
      <c r="K23" s="13" t="n">
        <v>13</v>
      </c>
      <c r="L23" s="13" t="n">
        <v>3</v>
      </c>
      <c r="M23" s="13" t="n">
        <v>1</v>
      </c>
      <c r="N23" s="13" t="n">
        <v>10</v>
      </c>
      <c r="O23" s="13" t="n">
        <v>1</v>
      </c>
      <c r="P23" s="13" t="n">
        <v>10</v>
      </c>
      <c r="Q23" s="13" t="n">
        <v>0</v>
      </c>
      <c r="R23" s="13" t="n">
        <v>0</v>
      </c>
      <c r="S23" s="13" t="n">
        <v>0</v>
      </c>
    </row>
    <row r="24" customFormat="false" ht="15" hidden="false" customHeight="false" outlineLevel="0" collapsed="false">
      <c r="A24" s="33" t="n">
        <v>20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11</v>
      </c>
      <c r="H24" s="13" t="n">
        <v>3</v>
      </c>
      <c r="I24" s="13" t="n">
        <v>9</v>
      </c>
      <c r="J24" s="13" t="n">
        <v>21</v>
      </c>
      <c r="K24" s="13" t="n">
        <v>1</v>
      </c>
      <c r="L24" s="13" t="n">
        <v>2</v>
      </c>
      <c r="M24" s="13" t="n">
        <v>0</v>
      </c>
      <c r="N24" s="13" t="n">
        <v>1</v>
      </c>
      <c r="O24" s="13" t="n">
        <v>1</v>
      </c>
      <c r="P24" s="13" t="n">
        <v>1</v>
      </c>
      <c r="Q24" s="13" t="n">
        <v>0</v>
      </c>
      <c r="R24" s="13" t="n">
        <v>0</v>
      </c>
      <c r="S24" s="13" t="n">
        <v>0</v>
      </c>
    </row>
    <row r="25" customFormat="false" ht="15" hidden="false" customHeight="false" outlineLevel="0" collapsed="false">
      <c r="A25" s="33" t="n">
        <v>21</v>
      </c>
      <c r="B25" s="13" t="n">
        <v>0</v>
      </c>
      <c r="C25" s="13" t="n">
        <v>1</v>
      </c>
      <c r="D25" s="13" t="n">
        <v>0</v>
      </c>
      <c r="E25" s="13" t="n">
        <v>0</v>
      </c>
      <c r="F25" s="13" t="n">
        <v>0</v>
      </c>
      <c r="G25" s="13" t="n">
        <v>10</v>
      </c>
      <c r="H25" s="13" t="n">
        <v>2</v>
      </c>
      <c r="I25" s="13" t="n">
        <v>8</v>
      </c>
      <c r="J25" s="13" t="n">
        <v>1</v>
      </c>
      <c r="K25" s="13" t="n">
        <v>12</v>
      </c>
      <c r="L25" s="13" t="n">
        <v>2</v>
      </c>
      <c r="M25" s="13" t="n">
        <v>1</v>
      </c>
      <c r="N25" s="13" t="n">
        <v>1</v>
      </c>
      <c r="O25" s="13" t="n">
        <v>1</v>
      </c>
      <c r="P25" s="13" t="n">
        <v>1</v>
      </c>
      <c r="Q25" s="13" t="n">
        <v>10</v>
      </c>
      <c r="R25" s="13" t="n">
        <v>10</v>
      </c>
      <c r="S25" s="13" t="n">
        <v>2</v>
      </c>
    </row>
    <row r="26" customFormat="false" ht="15" hidden="false" customHeight="false" outlineLevel="0" collapsed="false">
      <c r="A26" s="33" t="n">
        <v>22</v>
      </c>
      <c r="B26" s="13" t="n">
        <v>13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11</v>
      </c>
      <c r="H26" s="13" t="n">
        <v>1</v>
      </c>
      <c r="I26" s="13" t="n">
        <v>2</v>
      </c>
      <c r="J26" s="13" t="n">
        <v>1</v>
      </c>
      <c r="K26" s="13" t="n">
        <v>1</v>
      </c>
      <c r="L26" s="13" t="n">
        <v>2</v>
      </c>
      <c r="M26" s="13" t="n">
        <v>1</v>
      </c>
      <c r="N26" s="13" t="n">
        <v>1</v>
      </c>
      <c r="O26" s="13" t="n">
        <v>12</v>
      </c>
      <c r="P26" s="13" t="n">
        <v>1</v>
      </c>
      <c r="Q26" s="13" t="n">
        <v>0</v>
      </c>
      <c r="R26" s="13" t="n">
        <v>1</v>
      </c>
      <c r="S26" s="13" t="n">
        <v>0</v>
      </c>
    </row>
    <row r="27" customFormat="false" ht="15" hidden="false" customHeight="false" outlineLevel="0" collapsed="false">
      <c r="A27" s="33" t="n">
        <v>23</v>
      </c>
      <c r="B27" s="13" t="n">
        <v>0</v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10</v>
      </c>
      <c r="H27" s="13" t="n">
        <v>2</v>
      </c>
      <c r="I27" s="13" t="n">
        <v>8</v>
      </c>
      <c r="J27" s="13" t="n">
        <v>1</v>
      </c>
      <c r="K27" s="13" t="n">
        <v>23</v>
      </c>
      <c r="L27" s="13" t="n">
        <v>2</v>
      </c>
      <c r="M27" s="13" t="n">
        <v>2</v>
      </c>
      <c r="N27" s="13" t="n">
        <v>2</v>
      </c>
      <c r="O27" s="13" t="n">
        <v>1</v>
      </c>
      <c r="P27" s="13" t="n">
        <v>1</v>
      </c>
      <c r="Q27" s="13" t="n">
        <v>0</v>
      </c>
      <c r="R27" s="13" t="n">
        <v>30</v>
      </c>
      <c r="S27" s="13" t="n">
        <v>10</v>
      </c>
    </row>
    <row r="28" customFormat="false" ht="15" hidden="false" customHeight="false" outlineLevel="0" collapsed="false">
      <c r="A28" s="33" t="n">
        <v>24</v>
      </c>
      <c r="B28" s="13" t="n">
        <v>0</v>
      </c>
      <c r="C28" s="13" t="n">
        <v>10</v>
      </c>
      <c r="D28" s="13" t="n">
        <v>0</v>
      </c>
      <c r="E28" s="13" t="n">
        <v>1</v>
      </c>
      <c r="F28" s="13" t="n">
        <v>1</v>
      </c>
      <c r="G28" s="13" t="n">
        <v>0</v>
      </c>
      <c r="H28" s="13" t="n">
        <v>2</v>
      </c>
      <c r="I28" s="13" t="n">
        <v>3</v>
      </c>
      <c r="J28" s="13" t="n">
        <v>1</v>
      </c>
      <c r="K28" s="13" t="n">
        <v>2</v>
      </c>
      <c r="L28" s="13" t="n">
        <v>2</v>
      </c>
      <c r="M28" s="13" t="n">
        <v>1</v>
      </c>
      <c r="N28" s="13" t="n">
        <v>1</v>
      </c>
      <c r="O28" s="13" t="n">
        <v>1</v>
      </c>
      <c r="P28" s="13" t="n">
        <v>2</v>
      </c>
      <c r="Q28" s="13" t="n">
        <v>10</v>
      </c>
      <c r="R28" s="13" t="n">
        <v>0</v>
      </c>
      <c r="S28" s="13" t="n">
        <v>0</v>
      </c>
    </row>
    <row r="29" customFormat="false" ht="15" hidden="false" customHeight="false" outlineLevel="0" collapsed="false">
      <c r="A29" s="33" t="n">
        <v>25</v>
      </c>
      <c r="B29" s="13" t="n">
        <v>1</v>
      </c>
      <c r="C29" s="13" t="n">
        <v>0</v>
      </c>
      <c r="D29" s="13" t="n">
        <v>11</v>
      </c>
      <c r="E29" s="13" t="n">
        <v>0</v>
      </c>
      <c r="F29" s="13" t="n">
        <v>2</v>
      </c>
      <c r="G29" s="13" t="n">
        <v>10</v>
      </c>
      <c r="H29" s="13" t="n">
        <v>1</v>
      </c>
      <c r="I29" s="13" t="n">
        <v>1</v>
      </c>
      <c r="J29" s="13" t="n">
        <v>2</v>
      </c>
      <c r="K29" s="13" t="n">
        <v>1</v>
      </c>
      <c r="L29" s="13" t="n">
        <v>2</v>
      </c>
      <c r="M29" s="13" t="n">
        <v>1</v>
      </c>
      <c r="N29" s="13" t="n">
        <v>14</v>
      </c>
      <c r="O29" s="13" t="n">
        <v>1</v>
      </c>
      <c r="P29" s="13" t="n">
        <v>1</v>
      </c>
      <c r="Q29" s="13" t="n">
        <v>0</v>
      </c>
      <c r="R29" s="13" t="n">
        <v>12</v>
      </c>
      <c r="S29" s="13" t="n">
        <v>0</v>
      </c>
    </row>
    <row r="30" customFormat="false" ht="15" hidden="false" customHeight="false" outlineLevel="0" collapsed="false">
      <c r="A30" s="33" t="n">
        <v>26</v>
      </c>
      <c r="B30" s="13" t="n">
        <v>4</v>
      </c>
      <c r="C30" s="13" t="n">
        <v>0</v>
      </c>
      <c r="D30" s="13" t="n">
        <v>0</v>
      </c>
      <c r="E30" s="13" t="n">
        <v>0</v>
      </c>
      <c r="F30" s="13" t="n">
        <v>1</v>
      </c>
      <c r="G30" s="13" t="n">
        <v>0</v>
      </c>
      <c r="H30" s="13" t="n">
        <v>9</v>
      </c>
      <c r="I30" s="13" t="n">
        <v>1</v>
      </c>
      <c r="J30" s="13" t="n">
        <v>1</v>
      </c>
      <c r="K30" s="13" t="n">
        <v>27</v>
      </c>
      <c r="L30" s="13" t="n">
        <v>2</v>
      </c>
      <c r="M30" s="13" t="n">
        <v>1</v>
      </c>
      <c r="N30" s="13" t="n">
        <v>1</v>
      </c>
      <c r="O30" s="13" t="n">
        <v>5</v>
      </c>
      <c r="P30" s="13" t="n">
        <v>1</v>
      </c>
      <c r="Q30" s="13" t="n">
        <v>0</v>
      </c>
      <c r="R30" s="13" t="n">
        <v>0</v>
      </c>
      <c r="S30" s="13" t="n">
        <v>10</v>
      </c>
    </row>
    <row r="31" customFormat="false" ht="15" hidden="false" customHeight="false" outlineLevel="0" collapsed="false">
      <c r="A31" s="33" t="n">
        <v>27</v>
      </c>
      <c r="B31" s="13" t="n">
        <v>0</v>
      </c>
      <c r="C31" s="13" t="n">
        <v>0</v>
      </c>
      <c r="D31" s="13" t="n">
        <v>0</v>
      </c>
      <c r="E31" s="13" t="n">
        <v>1</v>
      </c>
      <c r="F31" s="13" t="n">
        <v>0</v>
      </c>
      <c r="G31" s="13" t="n">
        <v>10</v>
      </c>
      <c r="H31" s="13" t="n">
        <v>1</v>
      </c>
      <c r="I31" s="13" t="n">
        <v>1</v>
      </c>
      <c r="J31" s="13" t="n">
        <v>1</v>
      </c>
      <c r="K31" s="13" t="n">
        <v>1</v>
      </c>
      <c r="L31" s="13" t="n">
        <v>2</v>
      </c>
      <c r="M31" s="13" t="n">
        <v>0</v>
      </c>
      <c r="N31" s="13" t="n">
        <v>1</v>
      </c>
      <c r="O31" s="13" t="n">
        <v>2</v>
      </c>
      <c r="P31" s="13" t="n">
        <v>1</v>
      </c>
      <c r="Q31" s="13" t="n">
        <v>1</v>
      </c>
      <c r="R31" s="13" t="n">
        <v>0</v>
      </c>
      <c r="S31" s="13" t="n">
        <v>0</v>
      </c>
    </row>
    <row r="32" customFormat="false" ht="15" hidden="false" customHeight="false" outlineLevel="0" collapsed="false">
      <c r="A32" s="33" t="n">
        <v>28</v>
      </c>
      <c r="B32" s="13" t="n">
        <v>0</v>
      </c>
      <c r="C32" s="13" t="n">
        <v>0</v>
      </c>
      <c r="D32" s="13" t="n">
        <v>0</v>
      </c>
      <c r="E32" s="13" t="n">
        <v>10</v>
      </c>
      <c r="F32" s="13" t="n">
        <v>1</v>
      </c>
      <c r="G32" s="13" t="n">
        <v>8</v>
      </c>
      <c r="H32" s="13" t="n">
        <v>1</v>
      </c>
      <c r="I32" s="13" t="n">
        <v>10</v>
      </c>
      <c r="J32" s="13" t="n">
        <v>1</v>
      </c>
      <c r="K32" s="13" t="n">
        <v>1</v>
      </c>
      <c r="L32" s="13" t="n">
        <v>2</v>
      </c>
      <c r="M32" s="13" t="n">
        <v>2</v>
      </c>
      <c r="N32" s="13" t="n">
        <v>11</v>
      </c>
      <c r="O32" s="13" t="n">
        <v>1</v>
      </c>
      <c r="P32" s="13" t="n">
        <v>1</v>
      </c>
      <c r="Q32" s="13" t="n">
        <v>0</v>
      </c>
      <c r="R32" s="13" t="n">
        <v>13</v>
      </c>
      <c r="S32" s="13" t="n">
        <v>0</v>
      </c>
    </row>
    <row r="33" customFormat="false" ht="15" hidden="false" customHeight="false" outlineLevel="0" collapsed="false">
      <c r="A33" s="33" t="n">
        <v>29</v>
      </c>
      <c r="B33" s="13" t="n">
        <v>0</v>
      </c>
      <c r="C33" s="13" t="n">
        <v>0</v>
      </c>
      <c r="D33" s="13" t="n">
        <v>3</v>
      </c>
      <c r="E33" s="13" t="n">
        <v>0</v>
      </c>
      <c r="F33" s="13" t="n">
        <v>1</v>
      </c>
      <c r="G33" s="13" t="n">
        <v>0</v>
      </c>
      <c r="H33" s="13" t="n">
        <v>1</v>
      </c>
      <c r="I33" s="13" t="n">
        <v>1</v>
      </c>
      <c r="J33" s="13" t="n">
        <v>1</v>
      </c>
      <c r="K33" s="13" t="n">
        <v>1</v>
      </c>
      <c r="L33" s="13" t="n">
        <v>10</v>
      </c>
      <c r="M33" s="13" t="n">
        <v>2</v>
      </c>
      <c r="N33" s="13" t="n">
        <v>1</v>
      </c>
      <c r="O33" s="13" t="n">
        <v>2</v>
      </c>
      <c r="P33" s="13" t="n">
        <v>1</v>
      </c>
      <c r="Q33" s="13" t="n">
        <v>17</v>
      </c>
      <c r="R33" s="13" t="n">
        <v>0</v>
      </c>
      <c r="S33" s="13" t="n">
        <v>0</v>
      </c>
    </row>
    <row r="34" customFormat="false" ht="15" hidden="false" customHeight="false" outlineLevel="0" collapsed="false">
      <c r="A34" s="33" t="n">
        <v>30</v>
      </c>
      <c r="B34" s="13" t="n">
        <v>0</v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2</v>
      </c>
      <c r="I34" s="13" t="n">
        <v>1</v>
      </c>
      <c r="J34" s="13" t="n">
        <v>2</v>
      </c>
      <c r="K34" s="13" t="n">
        <v>1</v>
      </c>
      <c r="L34" s="13" t="n">
        <v>1</v>
      </c>
      <c r="M34" s="13" t="n">
        <v>2</v>
      </c>
      <c r="N34" s="13" t="n">
        <v>1</v>
      </c>
      <c r="O34" s="13" t="n">
        <v>1</v>
      </c>
      <c r="P34" s="13" t="n">
        <v>1</v>
      </c>
      <c r="Q34" s="13" t="n">
        <v>0</v>
      </c>
      <c r="R34" s="13" t="n">
        <v>0</v>
      </c>
      <c r="S34" s="13" t="n">
        <v>0</v>
      </c>
    </row>
    <row r="35" customFormat="false" ht="15" hidden="false" customHeight="false" outlineLevel="0" collapsed="false">
      <c r="A35" s="33" t="n">
        <v>31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1</v>
      </c>
      <c r="G35" s="13" t="n">
        <v>0</v>
      </c>
      <c r="H35" s="13" t="n">
        <v>1</v>
      </c>
      <c r="I35" s="13" t="n">
        <v>1</v>
      </c>
      <c r="J35" s="13" t="n">
        <v>1</v>
      </c>
      <c r="K35" s="13" t="n">
        <v>11</v>
      </c>
      <c r="L35" s="13" t="n">
        <v>5</v>
      </c>
      <c r="M35" s="13" t="n">
        <v>11</v>
      </c>
      <c r="N35" s="13" t="n">
        <v>10</v>
      </c>
      <c r="O35" s="13" t="n">
        <v>1</v>
      </c>
      <c r="P35" s="13" t="n">
        <v>0</v>
      </c>
      <c r="Q35" s="13" t="n">
        <v>11</v>
      </c>
      <c r="R35" s="13" t="n">
        <v>0</v>
      </c>
      <c r="S35" s="13" t="n">
        <v>0</v>
      </c>
    </row>
    <row r="36" customFormat="false" ht="15" hidden="false" customHeight="false" outlineLevel="0" collapsed="false">
      <c r="A36" s="33" t="n">
        <v>32</v>
      </c>
      <c r="B36" s="13" t="n">
        <v>0</v>
      </c>
      <c r="C36" s="13" t="n">
        <v>10</v>
      </c>
      <c r="D36" s="13" t="n">
        <v>0</v>
      </c>
      <c r="E36" s="13" t="n">
        <v>0</v>
      </c>
      <c r="F36" s="13" t="n">
        <v>1</v>
      </c>
      <c r="G36" s="13" t="n">
        <v>0</v>
      </c>
      <c r="H36" s="13" t="n">
        <v>1</v>
      </c>
      <c r="I36" s="13" t="n">
        <v>107</v>
      </c>
      <c r="J36" s="13" t="n">
        <v>1</v>
      </c>
      <c r="K36" s="13" t="n">
        <v>11</v>
      </c>
      <c r="L36" s="13" t="n">
        <v>1</v>
      </c>
      <c r="M36" s="13" t="n">
        <v>1</v>
      </c>
      <c r="N36" s="13" t="n">
        <v>2</v>
      </c>
      <c r="O36" s="13" t="n">
        <v>1</v>
      </c>
      <c r="P36" s="13" t="n">
        <v>1</v>
      </c>
      <c r="Q36" s="13" t="n">
        <v>0</v>
      </c>
      <c r="R36" s="13" t="n">
        <v>0</v>
      </c>
      <c r="S36" s="13" t="n">
        <v>0</v>
      </c>
    </row>
    <row r="37" customFormat="false" ht="15" hidden="false" customHeight="false" outlineLevel="0" collapsed="false">
      <c r="A37" s="33" t="n">
        <v>33</v>
      </c>
      <c r="B37" s="13" t="n">
        <v>0</v>
      </c>
      <c r="C37" s="13" t="n">
        <v>12</v>
      </c>
      <c r="D37" s="13" t="n">
        <v>0</v>
      </c>
      <c r="E37" s="13" t="n">
        <v>10</v>
      </c>
      <c r="F37" s="13" t="n">
        <v>3</v>
      </c>
      <c r="G37" s="13" t="n">
        <v>0</v>
      </c>
      <c r="H37" s="13" t="n">
        <v>10</v>
      </c>
      <c r="I37" s="13" t="n">
        <v>1</v>
      </c>
      <c r="J37" s="13" t="n">
        <v>1</v>
      </c>
      <c r="K37" s="13" t="n">
        <v>1</v>
      </c>
      <c r="L37" s="13" t="n">
        <v>2</v>
      </c>
      <c r="M37" s="13" t="n">
        <v>10</v>
      </c>
      <c r="N37" s="13" t="n">
        <v>1</v>
      </c>
      <c r="O37" s="13" t="n">
        <v>1</v>
      </c>
      <c r="P37" s="13" t="n">
        <v>2</v>
      </c>
      <c r="Q37" s="13" t="n">
        <v>0</v>
      </c>
      <c r="R37" s="13" t="n">
        <v>10</v>
      </c>
      <c r="S37" s="13" t="n">
        <v>0</v>
      </c>
    </row>
    <row r="38" customFormat="false" ht="15" hidden="false" customHeight="false" outlineLevel="0" collapsed="false">
      <c r="A38" s="33" t="n">
        <v>34</v>
      </c>
      <c r="B38" s="13" t="n">
        <v>0</v>
      </c>
      <c r="C38" s="13" t="n">
        <v>10</v>
      </c>
      <c r="D38" s="13" t="n">
        <v>0</v>
      </c>
      <c r="E38" s="13" t="n">
        <v>1</v>
      </c>
      <c r="F38" s="13" t="n">
        <v>10</v>
      </c>
      <c r="G38" s="13" t="n">
        <v>0</v>
      </c>
      <c r="H38" s="13" t="n">
        <v>1</v>
      </c>
      <c r="I38" s="13" t="n">
        <v>1</v>
      </c>
      <c r="J38" s="13" t="n">
        <v>1</v>
      </c>
      <c r="K38" s="13" t="n">
        <v>7</v>
      </c>
      <c r="L38" s="13" t="n">
        <v>1</v>
      </c>
      <c r="M38" s="13" t="n">
        <v>1</v>
      </c>
      <c r="N38" s="13" t="n">
        <v>1</v>
      </c>
      <c r="O38" s="13" t="n">
        <v>1</v>
      </c>
      <c r="P38" s="13" t="n">
        <v>11</v>
      </c>
      <c r="Q38" s="13" t="n">
        <v>0</v>
      </c>
      <c r="R38" s="13" t="n">
        <v>0</v>
      </c>
      <c r="S38" s="13" t="n">
        <v>0</v>
      </c>
    </row>
    <row r="39" customFormat="false" ht="15" hidden="false" customHeight="false" outlineLevel="0" collapsed="false">
      <c r="A39" s="33" t="n">
        <v>35</v>
      </c>
      <c r="B39" s="13" t="n">
        <v>0</v>
      </c>
      <c r="C39" s="13" t="n">
        <v>0</v>
      </c>
      <c r="D39" s="13" t="n">
        <v>0</v>
      </c>
      <c r="E39" s="13" t="n">
        <v>0</v>
      </c>
      <c r="F39" s="13" t="n">
        <v>2</v>
      </c>
      <c r="G39" s="13" t="n">
        <v>1</v>
      </c>
      <c r="H39" s="13" t="n">
        <v>1</v>
      </c>
      <c r="I39" s="13" t="n">
        <v>19</v>
      </c>
      <c r="J39" s="13" t="n">
        <v>4</v>
      </c>
      <c r="K39" s="13" t="n">
        <v>1</v>
      </c>
      <c r="L39" s="13" t="n">
        <v>1</v>
      </c>
      <c r="M39" s="13" t="n">
        <v>1</v>
      </c>
      <c r="N39" s="13" t="n">
        <v>1</v>
      </c>
      <c r="O39" s="13" t="n">
        <v>1</v>
      </c>
      <c r="P39" s="13" t="n">
        <v>1</v>
      </c>
      <c r="Q39" s="13" t="n">
        <v>0</v>
      </c>
      <c r="R39" s="13" t="n">
        <v>1</v>
      </c>
      <c r="S39" s="13" t="n">
        <v>3</v>
      </c>
    </row>
    <row r="40" customFormat="false" ht="15" hidden="false" customHeight="false" outlineLevel="0" collapsed="false">
      <c r="A40" s="33" t="n">
        <v>36</v>
      </c>
      <c r="B40" s="13" t="n">
        <v>0</v>
      </c>
      <c r="C40" s="13" t="n">
        <v>1</v>
      </c>
      <c r="D40" s="13" t="n">
        <v>0</v>
      </c>
      <c r="E40" s="13" t="n">
        <v>10</v>
      </c>
      <c r="F40" s="13" t="n">
        <v>0</v>
      </c>
      <c r="G40" s="13" t="n">
        <v>19</v>
      </c>
      <c r="H40" s="13" t="n">
        <v>2</v>
      </c>
      <c r="I40" s="13" t="n">
        <v>1</v>
      </c>
      <c r="J40" s="13" t="n">
        <v>2</v>
      </c>
      <c r="K40" s="13" t="n">
        <v>1</v>
      </c>
      <c r="L40" s="13" t="n">
        <v>1</v>
      </c>
      <c r="M40" s="13" t="n">
        <v>2</v>
      </c>
      <c r="N40" s="13" t="n">
        <v>2</v>
      </c>
      <c r="O40" s="13" t="n">
        <v>2</v>
      </c>
      <c r="P40" s="13" t="n">
        <v>14</v>
      </c>
      <c r="Q40" s="13" t="n">
        <v>1</v>
      </c>
      <c r="R40" s="13" t="n">
        <v>0</v>
      </c>
      <c r="S40" s="13" t="n">
        <v>0</v>
      </c>
    </row>
    <row r="41" customFormat="false" ht="15" hidden="false" customHeight="false" outlineLevel="0" collapsed="false">
      <c r="A41" s="33" t="n">
        <v>37</v>
      </c>
      <c r="B41" s="13" t="n">
        <v>0</v>
      </c>
      <c r="C41" s="13" t="n">
        <v>0</v>
      </c>
      <c r="D41" s="13" t="n">
        <v>0</v>
      </c>
      <c r="E41" s="13" t="n">
        <v>0</v>
      </c>
      <c r="F41" s="13" t="n">
        <v>7</v>
      </c>
      <c r="G41" s="13" t="n">
        <v>0</v>
      </c>
      <c r="H41" s="13" t="n">
        <v>1</v>
      </c>
      <c r="I41" s="13" t="n">
        <v>1</v>
      </c>
      <c r="J41" s="13" t="n">
        <v>1</v>
      </c>
      <c r="K41" s="13" t="n">
        <v>1</v>
      </c>
      <c r="L41" s="13" t="n">
        <v>1</v>
      </c>
      <c r="M41" s="13" t="n">
        <v>1</v>
      </c>
      <c r="N41" s="13" t="n">
        <v>11</v>
      </c>
      <c r="O41" s="13" t="n">
        <v>1</v>
      </c>
      <c r="P41" s="13" t="n">
        <v>1</v>
      </c>
      <c r="Q41" s="13" t="n">
        <v>24</v>
      </c>
      <c r="R41" s="13" t="n">
        <v>0</v>
      </c>
      <c r="S41" s="13" t="n">
        <v>0</v>
      </c>
    </row>
    <row r="42" customFormat="false" ht="15" hidden="false" customHeight="false" outlineLevel="0" collapsed="false">
      <c r="A42" s="33" t="n">
        <v>38</v>
      </c>
      <c r="B42" s="13" t="n">
        <v>0</v>
      </c>
      <c r="C42" s="13" t="n">
        <v>2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30</v>
      </c>
      <c r="I42" s="13" t="n">
        <v>4</v>
      </c>
      <c r="J42" s="13" t="n">
        <v>10</v>
      </c>
      <c r="K42" s="13" t="n">
        <v>1</v>
      </c>
      <c r="L42" s="13" t="n">
        <v>2</v>
      </c>
      <c r="M42" s="13" t="n">
        <v>2</v>
      </c>
      <c r="N42" s="13" t="n">
        <v>1</v>
      </c>
      <c r="O42" s="13" t="n">
        <v>1</v>
      </c>
      <c r="P42" s="13" t="n">
        <v>2</v>
      </c>
      <c r="Q42" s="13" t="n">
        <v>1</v>
      </c>
      <c r="R42" s="13" t="n">
        <v>0</v>
      </c>
      <c r="S42" s="13" t="n">
        <v>10</v>
      </c>
    </row>
    <row r="43" customFormat="false" ht="15" hidden="false" customHeight="false" outlineLevel="0" collapsed="false">
      <c r="A43" s="33" t="n">
        <v>39</v>
      </c>
      <c r="B43" s="13" t="n">
        <v>0</v>
      </c>
      <c r="C43" s="13" t="n">
        <v>1</v>
      </c>
      <c r="D43" s="13" t="n">
        <v>0</v>
      </c>
      <c r="E43" s="13" t="n">
        <v>2</v>
      </c>
      <c r="F43" s="13" t="n">
        <v>0</v>
      </c>
      <c r="G43" s="13" t="n">
        <v>0</v>
      </c>
      <c r="H43" s="13" t="n">
        <v>26</v>
      </c>
      <c r="I43" s="13" t="n">
        <v>1</v>
      </c>
      <c r="J43" s="13" t="n">
        <v>2</v>
      </c>
      <c r="K43" s="13" t="n">
        <v>1</v>
      </c>
      <c r="L43" s="13" t="n">
        <v>2</v>
      </c>
      <c r="M43" s="13" t="n">
        <v>1</v>
      </c>
      <c r="N43" s="13" t="n">
        <v>2</v>
      </c>
      <c r="O43" s="13" t="n">
        <v>11</v>
      </c>
      <c r="P43" s="13" t="n">
        <v>1</v>
      </c>
      <c r="Q43" s="13" t="n">
        <v>0</v>
      </c>
      <c r="R43" s="13" t="n">
        <v>0</v>
      </c>
      <c r="S43" s="13" t="n">
        <v>0</v>
      </c>
    </row>
    <row r="44" customFormat="false" ht="15" hidden="false" customHeight="false" outlineLevel="0" collapsed="false">
      <c r="A44" s="33" t="n">
        <v>40</v>
      </c>
      <c r="B44" s="13" t="n">
        <v>1</v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24</v>
      </c>
      <c r="I44" s="13" t="n">
        <v>10</v>
      </c>
      <c r="J44" s="13" t="n">
        <v>1</v>
      </c>
      <c r="K44" s="13" t="n">
        <v>1</v>
      </c>
      <c r="L44" s="13" t="n">
        <v>1</v>
      </c>
      <c r="M44" s="13" t="n">
        <v>11</v>
      </c>
      <c r="N44" s="13" t="n">
        <v>1</v>
      </c>
      <c r="O44" s="13" t="n">
        <v>1</v>
      </c>
      <c r="P44" s="13" t="n">
        <v>1</v>
      </c>
      <c r="Q44" s="13" t="n">
        <v>0</v>
      </c>
      <c r="R44" s="13" t="n">
        <v>2</v>
      </c>
      <c r="S44" s="13" t="n">
        <v>0</v>
      </c>
    </row>
    <row r="45" customFormat="false" ht="15" hidden="false" customHeight="false" outlineLevel="0" collapsed="false">
      <c r="A45" s="33" t="n">
        <v>41</v>
      </c>
      <c r="B45" s="13" t="n">
        <v>1</v>
      </c>
      <c r="C45" s="13" t="n">
        <v>0</v>
      </c>
      <c r="D45" s="13" t="n">
        <v>0</v>
      </c>
      <c r="E45" s="13" t="n">
        <v>0</v>
      </c>
      <c r="F45" s="13" t="n">
        <v>1</v>
      </c>
      <c r="G45" s="13" t="n">
        <v>0</v>
      </c>
      <c r="H45" s="13" t="n">
        <v>1</v>
      </c>
      <c r="I45" s="13" t="n">
        <v>10</v>
      </c>
      <c r="J45" s="13" t="n">
        <v>2</v>
      </c>
      <c r="K45" s="13" t="n">
        <v>1</v>
      </c>
      <c r="L45" s="13" t="n">
        <v>19</v>
      </c>
      <c r="M45" s="13" t="n">
        <v>1</v>
      </c>
      <c r="N45" s="13" t="n">
        <v>2</v>
      </c>
      <c r="O45" s="13" t="n">
        <v>3</v>
      </c>
      <c r="P45" s="13" t="n">
        <v>2</v>
      </c>
      <c r="Q45" s="13" t="n">
        <v>0</v>
      </c>
      <c r="R45" s="13" t="n">
        <v>0</v>
      </c>
      <c r="S45" s="13" t="n">
        <v>10</v>
      </c>
    </row>
    <row r="46" customFormat="false" ht="15" hidden="false" customHeight="false" outlineLevel="0" collapsed="false">
      <c r="A46" s="33" t="n">
        <v>42</v>
      </c>
      <c r="B46" s="13" t="n">
        <v>0</v>
      </c>
      <c r="C46" s="13" t="n">
        <v>0</v>
      </c>
      <c r="D46" s="13" t="n">
        <v>0</v>
      </c>
      <c r="E46" s="13" t="n">
        <v>1</v>
      </c>
      <c r="F46" s="13" t="n">
        <v>0</v>
      </c>
      <c r="G46" s="13" t="n">
        <v>1</v>
      </c>
      <c r="H46" s="13" t="n">
        <v>1</v>
      </c>
      <c r="I46" s="13" t="n">
        <v>1</v>
      </c>
      <c r="J46" s="13" t="n">
        <v>1</v>
      </c>
      <c r="K46" s="13" t="n">
        <v>1</v>
      </c>
      <c r="L46" s="13" t="n">
        <v>1</v>
      </c>
      <c r="M46" s="13" t="n">
        <v>2</v>
      </c>
      <c r="N46" s="13" t="n">
        <v>1</v>
      </c>
      <c r="O46" s="13" t="n">
        <v>1</v>
      </c>
      <c r="P46" s="13" t="n">
        <v>1</v>
      </c>
      <c r="Q46" s="13" t="n">
        <v>0</v>
      </c>
      <c r="R46" s="13" t="n">
        <v>0</v>
      </c>
      <c r="S46" s="13" t="n">
        <v>0</v>
      </c>
    </row>
    <row r="47" customFormat="false" ht="15" hidden="false" customHeight="false" outlineLevel="0" collapsed="false">
      <c r="A47" s="33" t="n">
        <v>43</v>
      </c>
      <c r="B47" s="13" t="n">
        <v>0</v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2</v>
      </c>
      <c r="I47" s="13" t="n">
        <v>10</v>
      </c>
      <c r="J47" s="13" t="n">
        <v>1</v>
      </c>
      <c r="K47" s="13" t="n">
        <v>1</v>
      </c>
      <c r="L47" s="13" t="n">
        <v>2</v>
      </c>
      <c r="M47" s="13" t="n">
        <v>0</v>
      </c>
      <c r="N47" s="13" t="n">
        <v>1</v>
      </c>
      <c r="O47" s="13" t="n">
        <v>21</v>
      </c>
      <c r="P47" s="13" t="n">
        <v>3</v>
      </c>
      <c r="Q47" s="13" t="n">
        <v>0</v>
      </c>
      <c r="R47" s="13" t="n">
        <v>0</v>
      </c>
      <c r="S47" s="13" t="n">
        <v>0</v>
      </c>
    </row>
    <row r="48" customFormat="false" ht="15" hidden="false" customHeight="false" outlineLevel="0" collapsed="false">
      <c r="A48" s="33" t="n">
        <v>44</v>
      </c>
      <c r="B48" s="13" t="n">
        <v>14</v>
      </c>
      <c r="C48" s="13" t="n">
        <v>0</v>
      </c>
      <c r="D48" s="13" t="n">
        <v>0</v>
      </c>
      <c r="E48" s="13" t="n">
        <v>10</v>
      </c>
      <c r="F48" s="13" t="n">
        <v>0</v>
      </c>
      <c r="G48" s="13" t="n">
        <v>9</v>
      </c>
      <c r="H48" s="13" t="n">
        <v>1</v>
      </c>
      <c r="I48" s="13" t="n">
        <v>10</v>
      </c>
      <c r="J48" s="13" t="n">
        <v>1</v>
      </c>
      <c r="K48" s="13" t="n">
        <v>1</v>
      </c>
      <c r="L48" s="13" t="n">
        <v>1</v>
      </c>
      <c r="M48" s="13" t="n">
        <v>1</v>
      </c>
      <c r="N48" s="13" t="n">
        <v>1</v>
      </c>
      <c r="O48" s="13" t="n">
        <v>1</v>
      </c>
      <c r="P48" s="13" t="n">
        <v>1</v>
      </c>
      <c r="Q48" s="13" t="n">
        <v>0</v>
      </c>
      <c r="R48" s="13" t="n">
        <v>0</v>
      </c>
      <c r="S48" s="13" t="n">
        <v>0</v>
      </c>
    </row>
    <row r="49" customFormat="false" ht="15" hidden="false" customHeight="false" outlineLevel="0" collapsed="false">
      <c r="A49" s="33" t="n">
        <v>45</v>
      </c>
      <c r="B49" s="13" t="n">
        <v>0</v>
      </c>
      <c r="C49" s="13" t="n">
        <v>3</v>
      </c>
      <c r="D49" s="13" t="n">
        <v>0</v>
      </c>
      <c r="E49" s="13" t="n">
        <v>1</v>
      </c>
      <c r="F49" s="13" t="n">
        <v>15</v>
      </c>
      <c r="G49" s="13" t="n">
        <v>0</v>
      </c>
      <c r="H49" s="13" t="n">
        <v>1</v>
      </c>
      <c r="I49" s="13" t="n">
        <v>1</v>
      </c>
      <c r="J49" s="13" t="n">
        <v>2</v>
      </c>
      <c r="K49" s="13" t="n">
        <v>1</v>
      </c>
      <c r="L49" s="13" t="n">
        <v>1</v>
      </c>
      <c r="M49" s="13" t="n">
        <v>10</v>
      </c>
      <c r="N49" s="13" t="n">
        <v>2</v>
      </c>
      <c r="O49" s="13" t="n">
        <v>1</v>
      </c>
      <c r="P49" s="13" t="n">
        <v>0</v>
      </c>
      <c r="Q49" s="13" t="n">
        <v>1</v>
      </c>
      <c r="R49" s="13" t="n">
        <v>0</v>
      </c>
      <c r="S49" s="13" t="n">
        <v>0</v>
      </c>
    </row>
    <row r="50" customFormat="false" ht="15" hidden="false" customHeight="false" outlineLevel="0" collapsed="false">
      <c r="A50" s="33" t="n">
        <v>46</v>
      </c>
      <c r="B50" s="13" t="n">
        <v>0</v>
      </c>
      <c r="C50" s="13" t="n">
        <v>0</v>
      </c>
      <c r="D50" s="13" t="n">
        <v>0</v>
      </c>
      <c r="E50" s="13" t="n">
        <v>0</v>
      </c>
      <c r="F50" s="13" t="n">
        <v>10</v>
      </c>
      <c r="G50" s="13" t="n">
        <v>1</v>
      </c>
      <c r="H50" s="13" t="n">
        <v>1</v>
      </c>
      <c r="I50" s="13" t="n">
        <v>21</v>
      </c>
      <c r="J50" s="13" t="n">
        <v>1</v>
      </c>
      <c r="K50" s="13" t="n">
        <v>1</v>
      </c>
      <c r="L50" s="13" t="n">
        <v>1</v>
      </c>
      <c r="M50" s="13" t="n">
        <v>1</v>
      </c>
      <c r="N50" s="13" t="n">
        <v>1</v>
      </c>
      <c r="O50" s="13" t="n">
        <v>1</v>
      </c>
      <c r="P50" s="13" t="n">
        <v>2</v>
      </c>
      <c r="Q50" s="13" t="n">
        <v>0</v>
      </c>
      <c r="R50" s="13" t="n">
        <v>0</v>
      </c>
      <c r="S50" s="13" t="n">
        <v>3</v>
      </c>
    </row>
    <row r="51" customFormat="false" ht="15" hidden="false" customHeight="false" outlineLevel="0" collapsed="false">
      <c r="A51" s="33" t="n">
        <v>47</v>
      </c>
      <c r="B51" s="13" t="n">
        <v>0</v>
      </c>
      <c r="C51" s="13" t="n">
        <v>1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2</v>
      </c>
      <c r="I51" s="13" t="n">
        <v>2</v>
      </c>
      <c r="J51" s="13" t="n">
        <v>2</v>
      </c>
      <c r="K51" s="13" t="n">
        <v>2</v>
      </c>
      <c r="L51" s="13" t="n">
        <v>1</v>
      </c>
      <c r="M51" s="13" t="n">
        <v>1</v>
      </c>
      <c r="N51" s="13" t="n">
        <v>1</v>
      </c>
      <c r="O51" s="13" t="n">
        <v>1</v>
      </c>
      <c r="P51" s="13" t="n">
        <v>2</v>
      </c>
      <c r="Q51" s="13" t="n">
        <v>1</v>
      </c>
      <c r="R51" s="13" t="n">
        <v>12</v>
      </c>
      <c r="S51" s="13" t="n">
        <v>0</v>
      </c>
    </row>
    <row r="52" customFormat="false" ht="15" hidden="false" customHeight="false" outlineLevel="0" collapsed="false">
      <c r="A52" s="33" t="n">
        <v>48</v>
      </c>
      <c r="B52" s="13" t="n">
        <v>27</v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4</v>
      </c>
      <c r="I52" s="13" t="n">
        <v>4</v>
      </c>
      <c r="J52" s="13" t="n">
        <v>1</v>
      </c>
      <c r="K52" s="13" t="n">
        <v>2</v>
      </c>
      <c r="L52" s="13" t="n">
        <v>2</v>
      </c>
      <c r="M52" s="13" t="n">
        <v>1</v>
      </c>
      <c r="N52" s="13" t="n">
        <v>10</v>
      </c>
      <c r="O52" s="13" t="n">
        <v>1</v>
      </c>
      <c r="P52" s="13" t="n">
        <v>2</v>
      </c>
      <c r="Q52" s="13" t="n">
        <v>0</v>
      </c>
      <c r="R52" s="13" t="n">
        <v>0</v>
      </c>
      <c r="S52" s="13" t="n">
        <v>0</v>
      </c>
    </row>
    <row r="53" customFormat="false" ht="15" hidden="false" customHeight="false" outlineLevel="0" collapsed="false">
      <c r="A53" s="33" t="n">
        <v>49</v>
      </c>
      <c r="B53" s="13" t="n">
        <v>12</v>
      </c>
      <c r="C53" s="13" t="n">
        <v>0</v>
      </c>
      <c r="D53" s="13" t="n">
        <v>10</v>
      </c>
      <c r="E53" s="13" t="n">
        <v>1</v>
      </c>
      <c r="F53" s="13" t="n">
        <v>0</v>
      </c>
      <c r="G53" s="13" t="n">
        <v>0</v>
      </c>
      <c r="H53" s="13" t="n">
        <v>1</v>
      </c>
      <c r="I53" s="13" t="n">
        <v>1</v>
      </c>
      <c r="J53" s="13" t="n">
        <v>1</v>
      </c>
      <c r="K53" s="13" t="n">
        <v>1</v>
      </c>
      <c r="L53" s="13" t="n">
        <v>2</v>
      </c>
      <c r="M53" s="13" t="n">
        <v>1</v>
      </c>
      <c r="N53" s="13" t="n">
        <v>2</v>
      </c>
      <c r="O53" s="13" t="n">
        <v>3</v>
      </c>
      <c r="P53" s="13" t="n">
        <v>1</v>
      </c>
      <c r="Q53" s="13" t="n">
        <v>0</v>
      </c>
      <c r="R53" s="13" t="n">
        <v>0</v>
      </c>
      <c r="S53" s="13" t="n">
        <v>1</v>
      </c>
    </row>
    <row r="54" customFormat="false" ht="15" hidden="false" customHeight="false" outlineLevel="0" collapsed="false">
      <c r="A54" s="33" t="n">
        <v>50</v>
      </c>
      <c r="B54" s="13" t="n">
        <v>1</v>
      </c>
      <c r="C54" s="13" t="n">
        <v>13</v>
      </c>
      <c r="D54" s="13" t="n">
        <v>0</v>
      </c>
      <c r="E54" s="13" t="n">
        <v>0</v>
      </c>
      <c r="F54" s="13" t="n">
        <v>10</v>
      </c>
      <c r="G54" s="13" t="n">
        <v>0</v>
      </c>
      <c r="H54" s="13" t="n">
        <v>1</v>
      </c>
      <c r="I54" s="13" t="n">
        <v>1</v>
      </c>
      <c r="J54" s="13" t="n">
        <v>1</v>
      </c>
      <c r="K54" s="13" t="n">
        <v>1</v>
      </c>
      <c r="L54" s="13" t="n">
        <v>1</v>
      </c>
      <c r="M54" s="13" t="n">
        <v>25</v>
      </c>
      <c r="N54" s="13" t="n">
        <v>1</v>
      </c>
      <c r="O54" s="13" t="n">
        <v>1</v>
      </c>
      <c r="P54" s="13" t="n">
        <v>2</v>
      </c>
      <c r="Q54" s="13" t="n">
        <v>0</v>
      </c>
      <c r="R54" s="13" t="n">
        <v>0</v>
      </c>
      <c r="S54" s="13" t="n">
        <v>6</v>
      </c>
    </row>
    <row r="55" customFormat="false" ht="15" hidden="false" customHeight="false" outlineLevel="0" collapsed="false">
      <c r="A55" s="7" t="s">
        <v>472</v>
      </c>
      <c r="B55" s="34" t="n">
        <f aca="false">COUNT(B5:B54)</f>
        <v>49</v>
      </c>
      <c r="C55" s="34" t="n">
        <f aca="false">COUNT(C5:C54)</f>
        <v>50</v>
      </c>
      <c r="D55" s="34" t="n">
        <f aca="false">COUNT(D5:D54)</f>
        <v>50</v>
      </c>
      <c r="E55" s="34" t="n">
        <f aca="false">COUNT(E5:E54)</f>
        <v>50</v>
      </c>
      <c r="F55" s="34" t="n">
        <f aca="false">COUNT(F5:F54)</f>
        <v>50</v>
      </c>
      <c r="G55" s="34" t="n">
        <f aca="false">COUNT(G5:G54)</f>
        <v>50</v>
      </c>
      <c r="H55" s="34" t="n">
        <f aca="false">COUNT(H5:H54)</f>
        <v>49</v>
      </c>
      <c r="I55" s="34" t="n">
        <f aca="false">COUNT(I5:I54)</f>
        <v>50</v>
      </c>
      <c r="J55" s="34" t="n">
        <f aca="false">COUNT(J5:J54)</f>
        <v>50</v>
      </c>
      <c r="K55" s="34" t="n">
        <f aca="false">COUNT(K5:K54)</f>
        <v>50</v>
      </c>
      <c r="L55" s="34" t="n">
        <f aca="false">COUNT(L5:L54)</f>
        <v>50</v>
      </c>
      <c r="M55" s="34" t="n">
        <f aca="false">COUNT(M5:M54)</f>
        <v>50</v>
      </c>
      <c r="N55" s="34" t="n">
        <f aca="false">COUNT(N5:N54)</f>
        <v>49</v>
      </c>
      <c r="O55" s="34" t="n">
        <f aca="false">COUNT(O5:O54)</f>
        <v>50</v>
      </c>
      <c r="P55" s="34" t="n">
        <f aca="false">COUNT(P5:P54)</f>
        <v>50</v>
      </c>
      <c r="Q55" s="34" t="n">
        <f aca="false">COUNT(Q5:Q54)</f>
        <v>50</v>
      </c>
      <c r="R55" s="34" t="n">
        <f aca="false">COUNT(R5:R54)</f>
        <v>50</v>
      </c>
      <c r="S55" s="34" t="n">
        <f aca="false">COUNT(S5:S54)</f>
        <v>50</v>
      </c>
    </row>
    <row r="56" customFormat="false" ht="15" hidden="false" customHeight="false" outlineLevel="0" collapsed="false">
      <c r="A56" s="7" t="s">
        <v>473</v>
      </c>
      <c r="B56" s="35" t="n">
        <v>1</v>
      </c>
      <c r="C56" s="35" t="n">
        <v>0</v>
      </c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1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1</v>
      </c>
      <c r="O56" s="35" t="n">
        <v>0</v>
      </c>
      <c r="P56" s="35" t="n">
        <v>0</v>
      </c>
      <c r="Q56" s="35" t="n">
        <v>0</v>
      </c>
      <c r="R56" s="35" t="n">
        <v>0</v>
      </c>
      <c r="S56" s="35" t="n">
        <v>0</v>
      </c>
    </row>
    <row r="57" customFormat="false" ht="15" hidden="false" customHeight="false" outlineLevel="0" collapsed="false">
      <c r="A57" s="7" t="s">
        <v>474</v>
      </c>
      <c r="B57" s="5" t="n">
        <f aca="false">IF(B55+B56=0,"",B56/(B55+B56))</f>
        <v>0.02</v>
      </c>
      <c r="C57" s="5" t="n">
        <f aca="false">IF(C55+C56=0,"",C56/(C55+C56))</f>
        <v>0</v>
      </c>
      <c r="D57" s="5" t="n">
        <f aca="false">IF(D55+D56=0,"",D56/(D55+D56))</f>
        <v>0</v>
      </c>
      <c r="E57" s="5" t="n">
        <f aca="false">IF(E55+E56=0,"",E56/(E55+E56))</f>
        <v>0</v>
      </c>
      <c r="F57" s="5" t="n">
        <f aca="false">IF(F55+F56=0,"",F56/(F55+F56))</f>
        <v>0</v>
      </c>
      <c r="G57" s="5" t="n">
        <f aca="false">IF(G55+G56=0,"",G56/(G55+G56))</f>
        <v>0</v>
      </c>
      <c r="H57" s="5" t="n">
        <f aca="false">IF(H55+H56=0,"",H56/(H55+H56))</f>
        <v>0.02</v>
      </c>
      <c r="I57" s="5" t="n">
        <f aca="false">IF(I55+I56=0,"",I56/(I55+I56))</f>
        <v>0</v>
      </c>
      <c r="J57" s="5" t="n">
        <f aca="false">IF(J55+J56=0,"",J56/(J55+J56))</f>
        <v>0</v>
      </c>
      <c r="K57" s="5" t="n">
        <f aca="false">IF(K55+K56=0,"",K56/(K55+K56))</f>
        <v>0</v>
      </c>
      <c r="L57" s="5" t="n">
        <f aca="false">IF(L55+L56=0,"",L56/(L55+L56))</f>
        <v>0</v>
      </c>
      <c r="M57" s="5" t="n">
        <f aca="false">IF(M55+M56=0,"",M56/(M55+M56))</f>
        <v>0</v>
      </c>
      <c r="N57" s="5" t="n">
        <f aca="false">IF(N55+N56=0,"",N56/(N55+N56))</f>
        <v>0.02</v>
      </c>
      <c r="O57" s="5" t="n">
        <f aca="false">IF(O55+O56=0,"",O56/(O55+O56))</f>
        <v>0</v>
      </c>
      <c r="P57" s="5" t="n">
        <f aca="false">IF(P55+P56=0,"",P56/(P55+P56))</f>
        <v>0</v>
      </c>
      <c r="Q57" s="5" t="n">
        <f aca="false">IF(Q55+Q56=0,"",Q56/(Q55+Q56))</f>
        <v>0</v>
      </c>
      <c r="R57" s="5" t="n">
        <f aca="false">IF(R55+R56=0,"",R56/(R55+R56))</f>
        <v>0</v>
      </c>
      <c r="S57" s="5" t="n">
        <f aca="false">IF(S55+S56=0,"",S56/(S55+S56))</f>
        <v>0</v>
      </c>
    </row>
    <row r="58" customFormat="false" ht="15" hidden="false" customHeight="false" outlineLevel="0" collapsed="false">
      <c r="A58" s="7" t="s">
        <v>475</v>
      </c>
      <c r="B58" s="34" t="n">
        <f aca="false">IF(B55=0,"",MIN(B5:B54))</f>
        <v>0</v>
      </c>
      <c r="C58" s="34" t="n">
        <f aca="false">IF(C55=0,"",MIN(C5:C54))</f>
        <v>0</v>
      </c>
      <c r="D58" s="34" t="n">
        <f aca="false">IF(D55=0,"",MIN(D5:D54))</f>
        <v>0</v>
      </c>
      <c r="E58" s="34" t="n">
        <f aca="false">IF(E55=0,"",MIN(E5:E54))</f>
        <v>0</v>
      </c>
      <c r="F58" s="34" t="n">
        <f aca="false">IF(F55=0,"",MIN(F5:F54))</f>
        <v>0</v>
      </c>
      <c r="G58" s="34" t="n">
        <f aca="false">IF(G55=0,"",MIN(G5:G54))</f>
        <v>0</v>
      </c>
      <c r="H58" s="34" t="n">
        <f aca="false">IF(H55=0,"",MIN(H5:H54))</f>
        <v>1</v>
      </c>
      <c r="I58" s="34" t="n">
        <f aca="false">IF(I55=0,"",MIN(I5:I54))</f>
        <v>1</v>
      </c>
      <c r="J58" s="34" t="n">
        <f aca="false">IF(J55=0,"",MIN(J5:J54))</f>
        <v>1</v>
      </c>
      <c r="K58" s="34" t="n">
        <f aca="false">IF(K55=0,"",MIN(K5:K54))</f>
        <v>1</v>
      </c>
      <c r="L58" s="34" t="n">
        <f aca="false">IF(L55=0,"",MIN(L5:L54))</f>
        <v>1</v>
      </c>
      <c r="M58" s="34" t="n">
        <f aca="false">IF(M55=0,"",MIN(M5:M54))</f>
        <v>0</v>
      </c>
      <c r="N58" s="34" t="n">
        <f aca="false">IF(N55=0,"",MIN(N5:N54))</f>
        <v>1</v>
      </c>
      <c r="O58" s="34" t="n">
        <f aca="false">IF(O55=0,"",MIN(O5:O54))</f>
        <v>1</v>
      </c>
      <c r="P58" s="34" t="n">
        <f aca="false">IF(P55=0,"",MIN(P5:P54))</f>
        <v>0</v>
      </c>
      <c r="Q58" s="34" t="n">
        <f aca="false">IF(Q55=0,"",MIN(Q5:Q54))</f>
        <v>0</v>
      </c>
      <c r="R58" s="34" t="n">
        <f aca="false">IF(R55=0,"",MIN(R5:R54))</f>
        <v>0</v>
      </c>
      <c r="S58" s="34" t="n">
        <f aca="false">IF(S55=0,"",MIN(S5:S54))</f>
        <v>0</v>
      </c>
    </row>
    <row r="59" customFormat="false" ht="15" hidden="false" customHeight="false" outlineLevel="0" collapsed="false">
      <c r="A59" s="7" t="s">
        <v>476</v>
      </c>
      <c r="B59" s="34" t="n">
        <f aca="false">IF(B55=0,"",AVERAGE(B5:B54))</f>
        <v>2.18367346938776</v>
      </c>
      <c r="C59" s="34" t="n">
        <f aca="false">IF(C55=0,"",AVERAGE(C5:C54))</f>
        <v>2.44</v>
      </c>
      <c r="D59" s="34" t="n">
        <f aca="false">IF(D55=0,"",AVERAGE(D5:D54))</f>
        <v>1.12</v>
      </c>
      <c r="E59" s="34" t="n">
        <f aca="false">IF(E55=0,"",AVERAGE(E5:E54))</f>
        <v>1.02</v>
      </c>
      <c r="F59" s="34" t="n">
        <f aca="false">IF(F55=0,"",AVERAGE(F5:F54))</f>
        <v>1.6</v>
      </c>
      <c r="G59" s="34" t="n">
        <f aca="false">IF(G55=0,"",AVERAGE(G5:G54))</f>
        <v>4.06</v>
      </c>
      <c r="H59" s="34" t="n">
        <f aca="false">IF(H55=0,"",AVERAGE(H5:H54))</f>
        <v>4.48979591836735</v>
      </c>
      <c r="I59" s="34" t="n">
        <f aca="false">IF(I55=0,"",AVERAGE(I5:I54))</f>
        <v>7.18</v>
      </c>
      <c r="J59" s="34" t="n">
        <f aca="false">IF(J55=0,"",AVERAGE(J5:J54))</f>
        <v>2.54</v>
      </c>
      <c r="K59" s="34" t="n">
        <f aca="false">IF(K55=0,"",AVERAGE(K5:K54))</f>
        <v>3.54</v>
      </c>
      <c r="L59" s="34" t="n">
        <f aca="false">IF(L55=0,"",AVERAGE(L5:L54))</f>
        <v>3.28</v>
      </c>
      <c r="M59" s="34" t="n">
        <f aca="false">IF(M55=0,"",AVERAGE(M5:M54))</f>
        <v>3.12</v>
      </c>
      <c r="N59" s="34" t="n">
        <f aca="false">IF(N55=0,"",AVERAGE(N5:N54))</f>
        <v>2.95918367346939</v>
      </c>
      <c r="O59" s="34" t="n">
        <f aca="false">IF(O55=0,"",AVERAGE(O5:O54))</f>
        <v>3.42</v>
      </c>
      <c r="P59" s="34" t="n">
        <f aca="false">IF(P55=0,"",AVERAGE(P5:P54))</f>
        <v>2.66</v>
      </c>
      <c r="Q59" s="34" t="n">
        <f aca="false">IF(Q55=0,"",AVERAGE(Q5:Q54))</f>
        <v>2.7</v>
      </c>
      <c r="R59" s="34" t="n">
        <f aca="false">IF(R55=0,"",AVERAGE(R5:R54))</f>
        <v>2.9</v>
      </c>
      <c r="S59" s="34" t="n">
        <f aca="false">IF(S55=0,"",AVERAGE(S5:S54))</f>
        <v>4.26</v>
      </c>
    </row>
    <row r="60" customFormat="false" ht="15" hidden="false" customHeight="false" outlineLevel="0" collapsed="false">
      <c r="A60" s="7" t="s">
        <v>477</v>
      </c>
      <c r="B60" s="34" t="n">
        <f aca="false">IF(B55=0,"",MAX(B5:B54))</f>
        <v>27</v>
      </c>
      <c r="C60" s="34" t="n">
        <f aca="false">IF(C55=0,"",MAX(C5:C54))</f>
        <v>32</v>
      </c>
      <c r="D60" s="34" t="n">
        <f aca="false">IF(D55=0,"",MAX(D5:D54))</f>
        <v>11</v>
      </c>
      <c r="E60" s="34" t="n">
        <f aca="false">IF(E55=0,"",MAX(E5:E54))</f>
        <v>10</v>
      </c>
      <c r="F60" s="34" t="n">
        <f aca="false">IF(F55=0,"",MAX(F5:F54))</f>
        <v>15</v>
      </c>
      <c r="G60" s="34" t="n">
        <f aca="false">IF(G55=0,"",MAX(G5:G54))</f>
        <v>24</v>
      </c>
      <c r="H60" s="34" t="n">
        <f aca="false">IF(H55=0,"",MAX(H5:H54))</f>
        <v>30</v>
      </c>
      <c r="I60" s="34" t="n">
        <f aca="false">IF(I55=0,"",MAX(I5:I54))</f>
        <v>107</v>
      </c>
      <c r="J60" s="34" t="n">
        <f aca="false">IF(J55=0,"",MAX(J5:J54))</f>
        <v>23</v>
      </c>
      <c r="K60" s="34" t="n">
        <f aca="false">IF(K55=0,"",MAX(K5:K54))</f>
        <v>27</v>
      </c>
      <c r="L60" s="34" t="n">
        <f aca="false">IF(L55=0,"",MAX(L5:L54))</f>
        <v>21</v>
      </c>
      <c r="M60" s="34" t="n">
        <f aca="false">IF(M55=0,"",MAX(M5:M54))</f>
        <v>25</v>
      </c>
      <c r="N60" s="34" t="n">
        <f aca="false">IF(N55=0,"",MAX(N5:N54))</f>
        <v>14</v>
      </c>
      <c r="O60" s="34" t="n">
        <f aca="false">IF(O55=0,"",MAX(O5:O54))</f>
        <v>26</v>
      </c>
      <c r="P60" s="34" t="n">
        <f aca="false">IF(P55=0,"",MAX(P5:P54))</f>
        <v>16</v>
      </c>
      <c r="Q60" s="34" t="n">
        <f aca="false">IF(Q55=0,"",MAX(Q5:Q54))</f>
        <v>24</v>
      </c>
      <c r="R60" s="34" t="n">
        <f aca="false">IF(R55=0,"",MAX(R5:R54))</f>
        <v>30</v>
      </c>
      <c r="S60" s="34" t="n">
        <f aca="false">IF(S55=0,"",MAX(S5:S54))</f>
        <v>36</v>
      </c>
    </row>
    <row r="61" customFormat="false" ht="15" hidden="false" customHeight="false" outlineLevel="0" collapsed="false">
      <c r="A61" s="7" t="s">
        <v>478</v>
      </c>
      <c r="B61" s="34" t="n">
        <f aca="false">IF(SUMPRODUCT((B6:B54&lt;&gt;"")*(B5:B53&lt;&gt;""))=0,"",SUMPRODUCT((B6:B54&lt;&gt;"")*(B5:B53&lt;&gt;"")*ABS(B6:B54-B5:B53))/SUMPRODUCT((B6:B54&lt;&gt;"")*(B5:B53&lt;&gt;"")))</f>
        <v>3.60416666666667</v>
      </c>
      <c r="C61" s="34" t="n">
        <f aca="false">IF(SUMPRODUCT((C6:C54&lt;&gt;"")*(C5:C53&lt;&gt;""))=0,"",SUMPRODUCT((C6:C54&lt;&gt;"")*(C5:C53&lt;&gt;"")*ABS(C6:C54-C5:C53))/SUMPRODUCT((C6:C54&lt;&gt;"")*(C5:C53&lt;&gt;"")))</f>
        <v>3.53061224489796</v>
      </c>
      <c r="D61" s="34" t="n">
        <f aca="false">IF(SUMPRODUCT((D6:D54&lt;&gt;"")*(D5:D53&lt;&gt;""))=0,"",SUMPRODUCT((D6:D54&lt;&gt;"")*(D5:D53&lt;&gt;"")*ABS(D6:D54-D5:D53))/SUMPRODUCT((D6:D54&lt;&gt;"")*(D5:D53&lt;&gt;"")))</f>
        <v>1.89795918367347</v>
      </c>
      <c r="E61" s="34" t="n">
        <f aca="false">IF(SUMPRODUCT((E6:E54&lt;&gt;"")*(E5:E53&lt;&gt;""))=0,"",SUMPRODUCT((E6:E54&lt;&gt;"")*(E5:E53&lt;&gt;"")*ABS(E6:E54-E5:E53))/SUMPRODUCT((E6:E54&lt;&gt;"")*(E5:E53&lt;&gt;"")))</f>
        <v>1.95918367346939</v>
      </c>
      <c r="F61" s="34" t="n">
        <f aca="false">IF(SUMPRODUCT((F6:F54&lt;&gt;"")*(F5:F53&lt;&gt;""))=0,"",SUMPRODUCT((F6:F54&lt;&gt;"")*(F5:F53&lt;&gt;"")*ABS(F6:F54-F5:F53))/SUMPRODUCT((F6:F54&lt;&gt;"")*(F5:F53&lt;&gt;"")))</f>
        <v>2.20408163265306</v>
      </c>
      <c r="G61" s="34" t="n">
        <f aca="false">IF(SUMPRODUCT((G6:G54&lt;&gt;"")*(G5:G53&lt;&gt;""))=0,"",SUMPRODUCT((G6:G54&lt;&gt;"")*(G5:G53&lt;&gt;"")*ABS(G6:G54-G5:G53))/SUMPRODUCT((G6:G54&lt;&gt;"")*(G5:G53&lt;&gt;"")))</f>
        <v>4.89795918367347</v>
      </c>
      <c r="H61" s="34" t="n">
        <f aca="false">IF(SUMPRODUCT((H6:H54&lt;&gt;"")*(H5:H53&lt;&gt;""))=0,"",SUMPRODUCT((H6:H54&lt;&gt;"")*(H5:H53&lt;&gt;"")*ABS(H6:H54-H5:H53))/SUMPRODUCT((H6:H54&lt;&gt;"")*(H5:H53&lt;&gt;"")))</f>
        <v>3.78723404255319</v>
      </c>
      <c r="I61" s="34" t="n">
        <f aca="false">IF(SUMPRODUCT((I6:I54&lt;&gt;"")*(I5:I53&lt;&gt;""))=0,"",SUMPRODUCT((I6:I54&lt;&gt;"")*(I5:I53&lt;&gt;"")*ABS(I6:I54-I5:I53))/SUMPRODUCT((I6:I54&lt;&gt;"")*(I5:I53&lt;&gt;"")))</f>
        <v>10.6122448979592</v>
      </c>
      <c r="J61" s="34" t="n">
        <f aca="false">IF(SUMPRODUCT((J6:J54&lt;&gt;"")*(J5:J53&lt;&gt;""))=0,"",SUMPRODUCT((J6:J54&lt;&gt;"")*(J5:J53&lt;&gt;"")*ABS(J6:J54-J5:J53))/SUMPRODUCT((J6:J54&lt;&gt;"")*(J5:J53&lt;&gt;"")))</f>
        <v>2.16326530612245</v>
      </c>
      <c r="K61" s="34" t="n">
        <f aca="false">IF(SUMPRODUCT((K6:K54&lt;&gt;"")*(K5:K53&lt;&gt;""))=0,"",SUMPRODUCT((K6:K54&lt;&gt;"")*(K5:K53&lt;&gt;"")*ABS(K6:K54-K5:K53))/SUMPRODUCT((K6:K54&lt;&gt;"")*(K5:K53&lt;&gt;"")))</f>
        <v>4.57142857142857</v>
      </c>
      <c r="L61" s="34" t="n">
        <f aca="false">IF(SUMPRODUCT((L6:L54&lt;&gt;"")*(L5:L53&lt;&gt;""))=0,"",SUMPRODUCT((L6:L54&lt;&gt;"")*(L5:L53&lt;&gt;"")*ABS(L6:L54-L5:L53))/SUMPRODUCT((L6:L54&lt;&gt;"")*(L5:L53&lt;&gt;"")))</f>
        <v>3</v>
      </c>
      <c r="M61" s="34" t="n">
        <f aca="false">IF(SUMPRODUCT((M6:M54&lt;&gt;"")*(M5:M53&lt;&gt;""))=0,"",SUMPRODUCT((M6:M54&lt;&gt;"")*(M5:M53&lt;&gt;"")*ABS(M6:M54-M5:M53))/SUMPRODUCT((M6:M54&lt;&gt;"")*(M5:M53&lt;&gt;"")))</f>
        <v>3.59183673469388</v>
      </c>
      <c r="N61" s="34" t="n">
        <f aca="false">IF(SUMPRODUCT((N6:N54&lt;&gt;"")*(N5:N53&lt;&gt;""))=0,"",SUMPRODUCT((N6:N54&lt;&gt;"")*(N5:N53&lt;&gt;"")*ABS(N6:N54-N5:N53))/SUMPRODUCT((N6:N54&lt;&gt;"")*(N5:N53&lt;&gt;"")))</f>
        <v>3.54166666666667</v>
      </c>
      <c r="O61" s="34" t="n">
        <f aca="false">IF(SUMPRODUCT((O6:O54&lt;&gt;"")*(O5:O53&lt;&gt;""))=0,"",SUMPRODUCT((O6:O54&lt;&gt;"")*(O5:O53&lt;&gt;"")*ABS(O6:O54-O5:O53))/SUMPRODUCT((O6:O54&lt;&gt;"")*(O5:O53&lt;&gt;"")))</f>
        <v>4.30612244897959</v>
      </c>
      <c r="P61" s="34" t="n">
        <f aca="false">IF(SUMPRODUCT((P6:P54&lt;&gt;"")*(P5:P53&lt;&gt;""))=0,"",SUMPRODUCT((P6:P54&lt;&gt;"")*(P5:P53&lt;&gt;"")*ABS(P6:P54-P5:P53))/SUMPRODUCT((P6:P54&lt;&gt;"")*(P5:P53&lt;&gt;"")))</f>
        <v>3.3469387755102</v>
      </c>
      <c r="Q61" s="34" t="n">
        <f aca="false">IF(SUMPRODUCT((Q6:Q54&lt;&gt;"")*(Q5:Q53&lt;&gt;""))=0,"",SUMPRODUCT((Q6:Q54&lt;&gt;"")*(Q5:Q53&lt;&gt;"")*ABS(Q6:Q54-Q5:Q53))/SUMPRODUCT((Q6:Q54&lt;&gt;"")*(Q5:Q53&lt;&gt;"")))</f>
        <v>5.02040816326531</v>
      </c>
      <c r="R61" s="34" t="n">
        <f aca="false">IF(SUMPRODUCT((R6:R54&lt;&gt;"")*(R5:R53&lt;&gt;""))=0,"",SUMPRODUCT((R6:R54&lt;&gt;"")*(R5:R53&lt;&gt;"")*ABS(R6:R54-R5:R53))/SUMPRODUCT((R6:R54&lt;&gt;"")*(R5:R53&lt;&gt;"")))</f>
        <v>5.18367346938776</v>
      </c>
      <c r="S61" s="34" t="n">
        <f aca="false">IF(SUMPRODUCT((S6:S54&lt;&gt;"")*(S5:S53&lt;&gt;""))=0,"",SUMPRODUCT((S6:S54&lt;&gt;"")*(S5:S53&lt;&gt;"")*ABS(S6:S54-S5:S53))/SUMPRODUCT((S6:S54&lt;&gt;"")*(S5:S53&lt;&gt;"")))</f>
        <v>4.83673469387755</v>
      </c>
    </row>
    <row r="63" customFormat="false" ht="15" hidden="false" customHeight="false" outlineLevel="0" collapsed="false">
      <c r="A63" s="9" t="s">
        <v>479</v>
      </c>
    </row>
    <row r="64" customFormat="false" ht="39.55" hidden="false" customHeight="false" outlineLevel="0" collapsed="false">
      <c r="A64" s="3" t="s">
        <v>480</v>
      </c>
      <c r="B64" s="3" t="s">
        <v>481</v>
      </c>
      <c r="C64" s="3" t="s">
        <v>482</v>
      </c>
      <c r="D64" s="3" t="s">
        <v>483</v>
      </c>
      <c r="E64" s="3" t="s">
        <v>484</v>
      </c>
      <c r="F64" s="3" t="s">
        <v>474</v>
      </c>
    </row>
    <row r="65" customFormat="false" ht="15" hidden="false" customHeight="false" outlineLevel="0" collapsed="false">
      <c r="A65" s="4" t="s">
        <v>485</v>
      </c>
      <c r="B65" s="36" t="n">
        <f aca="false">IF(SUM(B55:D55)=0,"",IFERROR(MIN(B58:D58),""))</f>
        <v>0</v>
      </c>
      <c r="C65" s="36" t="n">
        <f aca="false">IF(SUM(B55:D55)=0,"",IFERROR(AVERAGE(B59:D59),""))</f>
        <v>1.91455782312925</v>
      </c>
      <c r="D65" s="36" t="n">
        <f aca="false">IF(SUM(B55:D55)=0,"",IFERROR(MAX(B60:D60),""))</f>
        <v>32</v>
      </c>
      <c r="E65" s="37" t="n">
        <f aca="false">IF(SUM(B55:D55)=0,"",IFERROR(AVERAGE(B61:D61),""))</f>
        <v>3.0109126984127</v>
      </c>
      <c r="F65" s="18" t="n">
        <f aca="false">IF(SUM(B55:D55)=0,"",IFERROR(SUM(B56:D56)/(SUM(B55:D55)+SUM(B56:D56)),""))</f>
        <v>0.00666666666666667</v>
      </c>
    </row>
    <row r="66" customFormat="false" ht="15" hidden="false" customHeight="false" outlineLevel="0" collapsed="false">
      <c r="A66" s="4" t="s">
        <v>418</v>
      </c>
      <c r="B66" s="36" t="n">
        <f aca="false">IF(SUM(E55:G55)=0,"",IFERROR(MIN(E58:G58),""))</f>
        <v>0</v>
      </c>
      <c r="C66" s="36" t="n">
        <f aca="false">IF(SUM(E55:G55)=0,"",IFERROR(AVERAGE(E59:G59),""))</f>
        <v>2.22666666666667</v>
      </c>
      <c r="D66" s="36" t="n">
        <f aca="false">IF(SUM(E55:G55)=0,"",IFERROR(MAX(E60:G60),""))</f>
        <v>24</v>
      </c>
      <c r="E66" s="37" t="n">
        <f aca="false">IF(SUM(E55:G55)=0,"",IFERROR(AVERAGE(E61:G61),""))</f>
        <v>3.02040816326531</v>
      </c>
      <c r="F66" s="18" t="n">
        <f aca="false">IF(SUM(E55:G55)=0,"",IFERROR(SUM(E56:G56)/(SUM(E55:G55)+SUM(E56:G56)),""))</f>
        <v>0</v>
      </c>
    </row>
    <row r="67" customFormat="false" ht="15" hidden="false" customHeight="false" outlineLevel="0" collapsed="false">
      <c r="A67" s="4" t="s">
        <v>486</v>
      </c>
      <c r="B67" s="36" t="n">
        <f aca="false">IF(SUM(H55:J55)=0,"",IFERROR(MIN(H58:J58),""))</f>
        <v>1</v>
      </c>
      <c r="C67" s="36" t="n">
        <f aca="false">IF(SUM(H55:J55)=0,"",IFERROR(AVERAGE(H59:J59),""))</f>
        <v>4.73659863945578</v>
      </c>
      <c r="D67" s="36" t="n">
        <f aca="false">IF(SUM(H55:J55)=0,"",IFERROR(MAX(H60:J60),""))</f>
        <v>107</v>
      </c>
      <c r="E67" s="37" t="n">
        <f aca="false">IF(SUM(H55:J55)=0,"",IFERROR(AVERAGE(H61:J61),""))</f>
        <v>5.52091474887828</v>
      </c>
      <c r="F67" s="18" t="n">
        <f aca="false">IF(SUM(H55:J55)=0,"",IFERROR(SUM(H56:J56)/(SUM(H55:J55)+SUM(H56:J56)),""))</f>
        <v>0.00666666666666667</v>
      </c>
    </row>
    <row r="68" customFormat="false" ht="15" hidden="false" customHeight="false" outlineLevel="0" collapsed="false">
      <c r="A68" s="4" t="s">
        <v>487</v>
      </c>
      <c r="B68" s="36" t="n">
        <f aca="false">IF(SUM(K55:M55)=0,"",IFERROR(MIN(K58:M58),""))</f>
        <v>0</v>
      </c>
      <c r="C68" s="36" t="n">
        <f aca="false">IF(SUM(K55:M55)=0,"",IFERROR(AVERAGE(K59:M59),""))</f>
        <v>3.31333333333333</v>
      </c>
      <c r="D68" s="36" t="n">
        <f aca="false">IF(SUM(K55:M55)=0,"",IFERROR(MAX(K60:M60),""))</f>
        <v>27</v>
      </c>
      <c r="E68" s="37" t="n">
        <f aca="false">IF(SUM(K55:M55)=0,"",IFERROR(AVERAGE(K61:M61),""))</f>
        <v>3.72108843537415</v>
      </c>
      <c r="F68" s="18" t="n">
        <f aca="false">IF(SUM(K55:M55)=0,"",IFERROR(SUM(K56:M56)/(SUM(K55:M55)+SUM(K56:M56)),""))</f>
        <v>0</v>
      </c>
    </row>
    <row r="69" customFormat="false" ht="15" hidden="false" customHeight="false" outlineLevel="0" collapsed="false">
      <c r="A69" s="4" t="s">
        <v>488</v>
      </c>
      <c r="B69" s="36" t="n">
        <f aca="false">IF(SUM(N55:P55)=0,"",IFERROR(MIN(N58:P58),""))</f>
        <v>0</v>
      </c>
      <c r="C69" s="36" t="n">
        <f aca="false">IF(SUM(N55:P55)=0,"",IFERROR(AVERAGE(N59:P59),""))</f>
        <v>3.0130612244898</v>
      </c>
      <c r="D69" s="36" t="n">
        <f aca="false">IF(SUM(N55:P55)=0,"",IFERROR(MAX(N60:P60),""))</f>
        <v>26</v>
      </c>
      <c r="E69" s="37" t="n">
        <f aca="false">IF(SUM(N55:P55)=0,"",IFERROR(AVERAGE(N61:P61),""))</f>
        <v>3.73157596371882</v>
      </c>
      <c r="F69" s="18" t="n">
        <f aca="false">IF(SUM(N55:P55)=0,"",IFERROR(SUM(N56:P56)/(SUM(N55:P55)+SUM(N56:P56)),""))</f>
        <v>0.00666666666666667</v>
      </c>
    </row>
    <row r="70" customFormat="false" ht="15" hidden="false" customHeight="false" outlineLevel="0" collapsed="false">
      <c r="A70" s="4" t="s">
        <v>431</v>
      </c>
      <c r="B70" s="36" t="n">
        <f aca="false">IF(SUM(Q55:S55)=0,"",IFERROR(MIN(Q58:S58),""))</f>
        <v>0</v>
      </c>
      <c r="C70" s="36" t="n">
        <f aca="false">IF(SUM(Q55:S55)=0,"",IFERROR(AVERAGE(Q59:S59),""))</f>
        <v>3.28666666666667</v>
      </c>
      <c r="D70" s="36" t="n">
        <f aca="false">IF(SUM(Q55:S55)=0,"",IFERROR(MAX(Q60:S60),""))</f>
        <v>36</v>
      </c>
      <c r="E70" s="37" t="n">
        <f aca="false">IF(SUM(Q55:S55)=0,"",IFERROR(AVERAGE(Q61:S61),""))</f>
        <v>5.01360544217687</v>
      </c>
      <c r="F70" s="18" t="n">
        <f aca="false">IF(SUM(Q55:S55)=0,"",IFERROR(SUM(Q56:S56)/(SUM(Q55:S55)+SUM(Q56:S56)),""))</f>
        <v>0</v>
      </c>
    </row>
    <row r="72" customFormat="false" ht="15" hidden="false" customHeight="false" outlineLevel="0" collapsed="false">
      <c r="A72" s="9" t="s">
        <v>489</v>
      </c>
    </row>
    <row r="73" customFormat="false" ht="15" hidden="false" customHeight="false" outlineLevel="0" collapsed="false">
      <c r="A73" s="4" t="s">
        <v>490</v>
      </c>
      <c r="B73" s="13" t="n">
        <v>2</v>
      </c>
      <c r="C73" s="13" t="n">
        <v>10</v>
      </c>
      <c r="D73" s="13" t="n">
        <v>4</v>
      </c>
      <c r="E73" s="13" t="n">
        <v>12</v>
      </c>
      <c r="F73" s="13" t="n">
        <v>3</v>
      </c>
    </row>
    <row r="74" customFormat="false" ht="15" hidden="false" customHeight="false" outlineLevel="0" collapsed="false">
      <c r="A74" s="4" t="s">
        <v>491</v>
      </c>
      <c r="B74" s="37" t="n">
        <f aca="false">SUMPRODUCT(ABS(C73:F73-B73:E73))/(COUNT(B73:F73)-1)</f>
        <v>7.75</v>
      </c>
      <c r="C74" s="11" t="s">
        <v>492</v>
      </c>
    </row>
    <row r="77" customFormat="false" ht="15" hidden="false" customHeight="false" outlineLevel="0" collapsed="false">
      <c r="A77" s="9" t="s">
        <v>493</v>
      </c>
    </row>
    <row r="78" customFormat="false" ht="26.85" hidden="false" customHeight="false" outlineLevel="0" collapsed="false">
      <c r="A78" s="3" t="s">
        <v>494</v>
      </c>
      <c r="B78" s="3" t="s">
        <v>495</v>
      </c>
      <c r="C78" s="3" t="s">
        <v>496</v>
      </c>
      <c r="D78" s="3" t="s">
        <v>497</v>
      </c>
      <c r="E78" s="3" t="s">
        <v>8</v>
      </c>
    </row>
    <row r="79" customFormat="false" ht="15" hidden="false" customHeight="false" outlineLevel="0" collapsed="false">
      <c r="A79" s="4" t="s">
        <v>498</v>
      </c>
      <c r="B79" s="38" t="n">
        <v>3058048</v>
      </c>
      <c r="C79" s="13" t="n">
        <v>65.298</v>
      </c>
      <c r="D79" s="39" t="n">
        <f aca="false">IF(C79="","",B79*8/C79/1000)</f>
        <v>374.657478023829</v>
      </c>
      <c r="E79" s="6" t="s">
        <v>499</v>
      </c>
    </row>
    <row r="80" customFormat="false" ht="15" hidden="false" customHeight="false" outlineLevel="0" collapsed="false">
      <c r="A80" s="4" t="s">
        <v>500</v>
      </c>
      <c r="B80" s="38" t="n">
        <v>3058048</v>
      </c>
      <c r="C80" s="14" t="n">
        <v>18.517</v>
      </c>
      <c r="D80" s="39" t="n">
        <f aca="false">IF(C80="","pendiente",B80*8/C80/1000)</f>
        <v>1321.185073176</v>
      </c>
      <c r="E80" s="6" t="s">
        <v>499</v>
      </c>
      <c r="F80" s="11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2026-10-27T16:06:11Z</dcterms:created>
  <dc:creator>openpyxl</dc:creator>
  <dc:description/>
  <dc:language>en-US</dc:language>
  <cp:lastModifiedBy/>
  <dcterms:modified xsi:type="dcterms:W3CDTF">2026-10-27T23:32:38Z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